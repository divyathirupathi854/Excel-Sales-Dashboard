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Divya Thirupathi\Excel Dashboard\"/>
    </mc:Choice>
  </mc:AlternateContent>
  <xr:revisionPtr revIDLastSave="0" documentId="8_{026512BD-F30F-4D72-8985-CC720EE53B8D}" xr6:coauthVersionLast="47" xr6:coauthVersionMax="47" xr10:uidLastSave="{00000000-0000-0000-0000-000000000000}"/>
  <bookViews>
    <workbookView xWindow="-120" yWindow="-120" windowWidth="20730" windowHeight="11040" xr2:uid="{E32EB385-BA89-455C-83E1-513004FD5944}"/>
  </bookViews>
  <sheets>
    <sheet name="DASHBOARD" sheetId="6" r:id="rId1"/>
    <sheet name="PIVOT TABLES" sheetId="2" r:id="rId2"/>
    <sheet name="SALES DATA" sheetId="1"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 l="1"/>
  <c r="I51" i="1"/>
  <c r="I3" i="1"/>
  <c r="I4" i="1"/>
  <c r="K6" i="1" s="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K4" i="1"/>
  <c r="K2" i="1"/>
  <c r="I2" i="1"/>
</calcChain>
</file>

<file path=xl/sharedStrings.xml><?xml version="1.0" encoding="utf-8"?>
<sst xmlns="http://schemas.openxmlformats.org/spreadsheetml/2006/main" count="204" uniqueCount="39">
  <si>
    <t>Date</t>
  </si>
  <si>
    <t>Sales Person</t>
  </si>
  <si>
    <t>Region</t>
  </si>
  <si>
    <t>Product</t>
  </si>
  <si>
    <t>Units Sold</t>
  </si>
  <si>
    <t>Unit Price</t>
  </si>
  <si>
    <t>Cost of Goods</t>
  </si>
  <si>
    <t>Total Sales</t>
  </si>
  <si>
    <t>Harry Potter</t>
  </si>
  <si>
    <t>North</t>
  </si>
  <si>
    <t>Laptop</t>
  </si>
  <si>
    <t>Eleven</t>
  </si>
  <si>
    <t>South</t>
  </si>
  <si>
    <t>Mobile</t>
  </si>
  <si>
    <t>Tony Stark</t>
  </si>
  <si>
    <t>East</t>
  </si>
  <si>
    <t>Tablet</t>
  </si>
  <si>
    <t>Hermione Granger</t>
  </si>
  <si>
    <t>West</t>
  </si>
  <si>
    <t>Steve Rogers</t>
  </si>
  <si>
    <t>Printer</t>
  </si>
  <si>
    <t>Dustin Henderson</t>
  </si>
  <si>
    <t>Natasha Romanoff</t>
  </si>
  <si>
    <t>Thor</t>
  </si>
  <si>
    <t>Ron Weasley</t>
  </si>
  <si>
    <t>Bruce Banner</t>
  </si>
  <si>
    <t>Peter Parker</t>
  </si>
  <si>
    <t>Nancy Wheeler</t>
  </si>
  <si>
    <t>Profit</t>
  </si>
  <si>
    <t>Grand Total</t>
  </si>
  <si>
    <t>Unit Sold</t>
  </si>
  <si>
    <t>Total Profit</t>
  </si>
  <si>
    <t>Average Sales</t>
  </si>
  <si>
    <t xml:space="preserve"> total sales - (cost of goods *unit sold)</t>
  </si>
  <si>
    <t>Column1</t>
  </si>
  <si>
    <t>Row Labels</t>
  </si>
  <si>
    <t>Sum of Total Sales</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</si>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</sst>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 #,##0_ ;_ * \-#,##0_ ;_ * &quot;-&quot;_ ;_ @_ "/>
    <numFmt numFmtId="43" formatCode="_ * #,##0.00_ ;_ * \-#,##0.00_ ;_ * &quot;-&quot;??_ ;_ @_ "/>
    <numFmt numFmtId="164" formatCode="_ * #,##0_ ;_ * \-#,##0_ ;_ * &quot;-&quot;??_ ;_ @_ "/>
  </numFmts>
  <fonts count="3" x14ac:knownFonts="1">
    <font>
      <sz val="11"/>
      <color theme="1"/>
      <name val="Calibri"/>
      <family val="2"/>
      <scheme val="minor"/>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3">
    <xf numFmtId="0" fontId="0" fillId="0" borderId="0"/>
    <xf numFmtId="43" fontId="1" fillId="0" borderId="0" applyFont="0" applyFill="0" applyBorder="0" applyAlignment="0" applyProtection="0"/>
    <xf numFmtId="0" fontId="2" fillId="2" borderId="0" applyNumberFormat="0" applyBorder="0" applyAlignment="0" applyProtection="0"/>
  </cellStyleXfs>
  <cellXfs count="10">
    <xf numFmtId="0" fontId="0" fillId="0" borderId="0" xfId="0"/>
    <xf numFmtId="14" fontId="0" fillId="0" borderId="0" xfId="0" applyNumberFormat="1"/>
    <xf numFmtId="0" fontId="2" fillId="2" borderId="0" xfId="2"/>
    <xf numFmtId="3" fontId="0" fillId="0" borderId="0" xfId="0" applyNumberFormat="1"/>
    <xf numFmtId="164" fontId="0" fillId="0" borderId="0" xfId="1" applyNumberFormat="1" applyFont="1"/>
    <xf numFmtId="0" fontId="0" fillId="0" borderId="0" xfId="0" pivotButton="1"/>
    <xf numFmtId="0" fontId="0" fillId="0" borderId="0" xfId="0" applyAlignment="1">
      <alignment horizontal="left"/>
    </xf>
    <xf numFmtId="41" fontId="0" fillId="0" borderId="0" xfId="0" applyNumberFormat="1"/>
    <xf numFmtId="164" fontId="0" fillId="0" borderId="0" xfId="0" applyNumberFormat="1"/>
    <xf numFmtId="0" fontId="0" fillId="0" borderId="0" xfId="0" applyNumberFormat="1"/>
  </cellXfs>
  <cellStyles count="3">
    <cellStyle name="Accent1" xfId="2" builtinId="29"/>
    <cellStyle name="Comma" xfId="1" builtinId="3"/>
    <cellStyle name="Normal" xfId="0" builtinId="0"/>
  </cellStyles>
  <dxfs count="23">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val="0"/>
        <i val="0"/>
        <strike val="0"/>
        <condense val="0"/>
        <extend val="0"/>
        <outline val="0"/>
        <shadow val="0"/>
        <u val="none"/>
        <vertAlign val="baseline"/>
        <sz val="11"/>
        <color theme="1"/>
        <name val="Calibri"/>
        <family val="2"/>
        <scheme val="minor"/>
      </font>
      <numFmt numFmtId="164" formatCode="_ * #,##0_ ;_ * \-#,##0_ ;_ * &quot;-&quot;??_ ;_ @_ "/>
    </dxf>
    <dxf>
      <numFmt numFmtId="3" formatCode="#,##0"/>
    </dxf>
    <dxf>
      <numFmt numFmtId="3" formatCode="#,##0"/>
    </dxf>
    <dxf>
      <numFmt numFmtId="3" formatCode="#,##0"/>
    </dxf>
    <dxf>
      <numFmt numFmtId="19" formatCode="dd/mm/yyyy"/>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TABLES!PivotTable4</c:name>
    <c:fmtId val="4"/>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pivotFmt>
      <c:pivotFmt>
        <c:idx val="4"/>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pivotFmt>
      <c:pivotFmt>
        <c:idx val="5"/>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pivotFmt>
      <c:pivotFmt>
        <c:idx val="6"/>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pivotFmt>
    </c:pivotFmts>
    <c:plotArea>
      <c:layout>
        <c:manualLayout>
          <c:layoutTarget val="inner"/>
          <c:xMode val="edge"/>
          <c:yMode val="edge"/>
          <c:x val="4.7542224429853674E-2"/>
          <c:y val="5.334701916941768E-3"/>
          <c:w val="0.93473331997165077"/>
          <c:h val="0.79694471262298872"/>
        </c:manualLayout>
      </c:layout>
      <c:lineChart>
        <c:grouping val="standard"/>
        <c:varyColors val="0"/>
        <c:ser>
          <c:idx val="0"/>
          <c:order val="0"/>
          <c:tx>
            <c:strRef>
              <c:f>'PIVOT TABLES'!$L$3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TABLES'!$K$4:$K$8</c:f>
              <c:strCache>
                <c:ptCount val="4"/>
                <c:pt idx="0">
                  <c:v>Laptop</c:v>
                </c:pt>
                <c:pt idx="1">
                  <c:v>Mobile</c:v>
                </c:pt>
                <c:pt idx="2">
                  <c:v>Printer</c:v>
                </c:pt>
                <c:pt idx="3">
                  <c:v>Tablet</c:v>
                </c:pt>
              </c:strCache>
            </c:strRef>
          </c:cat>
          <c:val>
            <c:numRef>
              <c:f>'PIVOT TABLES'!$L$4:$L$8</c:f>
              <c:numCache>
                <c:formatCode>General</c:formatCode>
                <c:ptCount val="4"/>
                <c:pt idx="0">
                  <c:v>1308</c:v>
                </c:pt>
                <c:pt idx="1">
                  <c:v>2119</c:v>
                </c:pt>
                <c:pt idx="2">
                  <c:v>539</c:v>
                </c:pt>
                <c:pt idx="3">
                  <c:v>775</c:v>
                </c:pt>
              </c:numCache>
            </c:numRef>
          </c:val>
          <c:smooth val="0"/>
          <c:extLst>
            <c:ext xmlns:c16="http://schemas.microsoft.com/office/drawing/2014/chart" uri="{C3380CC4-5D6E-409C-BE32-E72D297353CC}">
              <c16:uniqueId val="{00000000-777A-43D7-83DB-CF5545BEFA35}"/>
            </c:ext>
          </c:extLst>
        </c:ser>
        <c:dLbls>
          <c:dLblPos val="t"/>
          <c:showLegendKey val="0"/>
          <c:showVal val="1"/>
          <c:showCatName val="0"/>
          <c:showSerName val="0"/>
          <c:showPercent val="0"/>
          <c:showBubbleSize val="0"/>
        </c:dLbls>
        <c:dropLines>
          <c:spPr>
            <a:ln w="34925" cap="flat" cmpd="sng" algn="ctr">
              <a:solidFill>
                <a:schemeClr val="accent1"/>
              </a:solidFill>
              <a:round/>
            </a:ln>
            <a:effectLst/>
          </c:spPr>
        </c:dropLines>
        <c:marker val="1"/>
        <c:smooth val="0"/>
        <c:axId val="1454367071"/>
        <c:axId val="1516008063"/>
      </c:lineChart>
      <c:catAx>
        <c:axId val="1454367071"/>
        <c:scaling>
          <c:orientation val="minMax"/>
        </c:scaling>
        <c:delete val="0"/>
        <c:axPos val="b"/>
        <c:numFmt formatCode="General" sourceLinked="1"/>
        <c:majorTickMark val="out"/>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1516008063"/>
        <c:crosses val="autoZero"/>
        <c:auto val="1"/>
        <c:lblAlgn val="ctr"/>
        <c:lblOffset val="100"/>
        <c:noMultiLvlLbl val="0"/>
      </c:catAx>
      <c:valAx>
        <c:axId val="1516008063"/>
        <c:scaling>
          <c:orientation val="minMax"/>
        </c:scaling>
        <c:delete val="1"/>
        <c:axPos val="l"/>
        <c:numFmt formatCode="General" sourceLinked="1"/>
        <c:majorTickMark val="out"/>
        <c:minorTickMark val="none"/>
        <c:tickLblPos val="nextTo"/>
        <c:crossAx val="1454367071"/>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8888888888889"/>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2222222222222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33333333333333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88888888888889"/>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22222222222222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33333333333333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7E-447E-AA4E-2DF9C87C3D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7E-447E-AA4E-2DF9C87C3D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7E-447E-AA4E-2DF9C87C3D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7E-447E-AA4E-2DF9C87C3D56}"/>
              </c:ext>
            </c:extLst>
          </c:dPt>
          <c:dLbls>
            <c:dLbl>
              <c:idx val="0"/>
              <c:layout>
                <c:manualLayout>
                  <c:x val="0.1277777777777777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7E-447E-AA4E-2DF9C87C3D56}"/>
                </c:ext>
              </c:extLst>
            </c:dLbl>
            <c:dLbl>
              <c:idx val="1"/>
              <c:layout>
                <c:manualLayout>
                  <c:x val="0.1388888888888889"/>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7E-447E-AA4E-2DF9C87C3D56}"/>
                </c:ext>
              </c:extLst>
            </c:dLbl>
            <c:dLbl>
              <c:idx val="2"/>
              <c:layout>
                <c:manualLayout>
                  <c:x val="-0.1222222222222222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7E-447E-AA4E-2DF9C87C3D56}"/>
                </c:ext>
              </c:extLst>
            </c:dLbl>
            <c:dLbl>
              <c:idx val="3"/>
              <c:layout>
                <c:manualLayout>
                  <c:x val="-0.1333333333333333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7E-447E-AA4E-2DF9C87C3D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_(* #,##0_);_(* \(#,##0\);_(* "-"_);_(@_)</c:formatCode>
                <c:ptCount val="4"/>
                <c:pt idx="0">
                  <c:v>50890000</c:v>
                </c:pt>
                <c:pt idx="1">
                  <c:v>48315000</c:v>
                </c:pt>
                <c:pt idx="2">
                  <c:v>60820000</c:v>
                </c:pt>
                <c:pt idx="3">
                  <c:v>38425000</c:v>
                </c:pt>
              </c:numCache>
            </c:numRef>
          </c:val>
          <c:extLst>
            <c:ext xmlns:c16="http://schemas.microsoft.com/office/drawing/2014/chart" uri="{C3380CC4-5D6E-409C-BE32-E72D297353CC}">
              <c16:uniqueId val="{00000008-F87E-447E-AA4E-2DF9C87C3D56}"/>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TABLES!PivotTable2</c:name>
    <c:fmtId val="4"/>
  </c:pivotSource>
  <c:chart>
    <c:autoTitleDeleted val="1"/>
    <c:pivotFmts>
      <c:pivotFmt>
        <c:idx val="0"/>
        <c:spPr>
          <a:solidFill>
            <a:schemeClr val="accent1"/>
          </a:solidFill>
          <a:ln>
            <a:noFill/>
          </a:ln>
          <a:effectLst/>
        </c:spPr>
        <c:marker>
          <c:symbol val="none"/>
        </c:marker>
        <c:dLbl>
          <c:idx val="0"/>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4656594668142E-2"/>
          <c:y val="1.7119103203365068E-3"/>
          <c:w val="0.85658530183727033"/>
          <c:h val="0.89814814814814814"/>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Laptop</c:v>
                </c:pt>
                <c:pt idx="1">
                  <c:v>Mobile</c:v>
                </c:pt>
                <c:pt idx="2">
                  <c:v>Printer</c:v>
                </c:pt>
                <c:pt idx="3">
                  <c:v>Tablet</c:v>
                </c:pt>
              </c:strCache>
            </c:strRef>
          </c:cat>
          <c:val>
            <c:numRef>
              <c:f>'PIVOT TABLES'!$E$4:$E$8</c:f>
              <c:numCache>
                <c:formatCode>_ * #,##0_ ;_ * \-#,##0_ ;_ * "-"??_ ;_ @_ </c:formatCode>
                <c:ptCount val="4"/>
                <c:pt idx="0">
                  <c:v>78480000</c:v>
                </c:pt>
                <c:pt idx="1">
                  <c:v>84760000</c:v>
                </c:pt>
                <c:pt idx="2">
                  <c:v>8085000</c:v>
                </c:pt>
                <c:pt idx="3">
                  <c:v>27125000</c:v>
                </c:pt>
              </c:numCache>
            </c:numRef>
          </c:val>
          <c:extLst>
            <c:ext xmlns:c16="http://schemas.microsoft.com/office/drawing/2014/chart" uri="{C3380CC4-5D6E-409C-BE32-E72D297353CC}">
              <c16:uniqueId val="{00000000-8DD4-4FC3-975E-BDCD51B680BE}"/>
            </c:ext>
          </c:extLst>
        </c:ser>
        <c:dLbls>
          <c:dLblPos val="outEnd"/>
          <c:showLegendKey val="0"/>
          <c:showVal val="1"/>
          <c:showCatName val="0"/>
          <c:showSerName val="0"/>
          <c:showPercent val="0"/>
          <c:showBubbleSize val="0"/>
        </c:dLbls>
        <c:gapWidth val="52"/>
        <c:axId val="1516014783"/>
        <c:axId val="1516009503"/>
      </c:barChart>
      <c:catAx>
        <c:axId val="1516014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6009503"/>
        <c:crosses val="autoZero"/>
        <c:auto val="1"/>
        <c:lblAlgn val="ctr"/>
        <c:lblOffset val="100"/>
        <c:noMultiLvlLbl val="0"/>
      </c:catAx>
      <c:valAx>
        <c:axId val="1516009503"/>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6014783"/>
        <c:crosses val="autoZero"/>
        <c:crossBetween val="between"/>
        <c:dispUnits>
          <c:builtInUnit val="hundred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TABLES!PivotTable3</c:name>
    <c:fmtId val="5"/>
  </c:pivotSource>
  <c:chart>
    <c:autoTitleDeleted val="1"/>
    <c:pivotFmts>
      <c:pivotFmt>
        <c:idx val="0"/>
        <c:spPr>
          <a:solidFill>
            <a:schemeClr val="accent1"/>
          </a:solidFill>
          <a:ln>
            <a:noFill/>
          </a:ln>
          <a:effectLst/>
        </c:spPr>
        <c:marker>
          <c:symbol val="none"/>
        </c:marker>
        <c:dLbl>
          <c:idx val="0"/>
          <c:numFmt formatCode="0&quot;L&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numFmt formatCode="0&quot;L&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quot;L&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074225323631194E-2"/>
          <c:y val="3.019809250217767E-2"/>
          <c:w val="0.88583486390127764"/>
          <c:h val="0.59558476850294551"/>
        </c:manualLayout>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numFmt formatCode="0&quot;L&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Bruce Banner</c:v>
                </c:pt>
                <c:pt idx="1">
                  <c:v>Dustin Henderson</c:v>
                </c:pt>
                <c:pt idx="2">
                  <c:v>Eleven</c:v>
                </c:pt>
                <c:pt idx="3">
                  <c:v>Harry Potter</c:v>
                </c:pt>
                <c:pt idx="4">
                  <c:v>Hermione Granger</c:v>
                </c:pt>
                <c:pt idx="5">
                  <c:v>Nancy Wheeler</c:v>
                </c:pt>
                <c:pt idx="6">
                  <c:v>Natasha Romanoff</c:v>
                </c:pt>
                <c:pt idx="7">
                  <c:v>Peter Parker</c:v>
                </c:pt>
                <c:pt idx="8">
                  <c:v>Ron Weasley</c:v>
                </c:pt>
                <c:pt idx="9">
                  <c:v>Steve Rogers</c:v>
                </c:pt>
                <c:pt idx="10">
                  <c:v>Thor</c:v>
                </c:pt>
                <c:pt idx="11">
                  <c:v>Tony Stark</c:v>
                </c:pt>
              </c:strCache>
            </c:strRef>
          </c:cat>
          <c:val>
            <c:numRef>
              <c:f>'PIVOT TABLES'!$H$4:$H$16</c:f>
              <c:numCache>
                <c:formatCode>_ * #,##0_ ;_ * \-#,##0_ ;_ * "-"??_ ;_ @_ </c:formatCode>
                <c:ptCount val="12"/>
                <c:pt idx="0">
                  <c:v>10520000</c:v>
                </c:pt>
                <c:pt idx="1">
                  <c:v>13675000</c:v>
                </c:pt>
                <c:pt idx="2">
                  <c:v>28660000</c:v>
                </c:pt>
                <c:pt idx="3">
                  <c:v>29750000</c:v>
                </c:pt>
                <c:pt idx="4">
                  <c:v>13815000</c:v>
                </c:pt>
                <c:pt idx="5">
                  <c:v>8400000</c:v>
                </c:pt>
                <c:pt idx="6">
                  <c:v>7695000</c:v>
                </c:pt>
                <c:pt idx="7">
                  <c:v>17160000</c:v>
                </c:pt>
                <c:pt idx="8">
                  <c:v>7170000</c:v>
                </c:pt>
                <c:pt idx="9">
                  <c:v>23000000</c:v>
                </c:pt>
                <c:pt idx="10">
                  <c:v>19420000</c:v>
                </c:pt>
                <c:pt idx="11">
                  <c:v>19185000</c:v>
                </c:pt>
              </c:numCache>
            </c:numRef>
          </c:val>
          <c:extLst>
            <c:ext xmlns:c16="http://schemas.microsoft.com/office/drawing/2014/chart" uri="{C3380CC4-5D6E-409C-BE32-E72D297353CC}">
              <c16:uniqueId val="{00000000-E8CA-47C3-B279-CAB2F9BDEA02}"/>
            </c:ext>
          </c:extLst>
        </c:ser>
        <c:dLbls>
          <c:dLblPos val="outEnd"/>
          <c:showLegendKey val="0"/>
          <c:showVal val="1"/>
          <c:showCatName val="0"/>
          <c:showSerName val="0"/>
          <c:showPercent val="0"/>
          <c:showBubbleSize val="0"/>
        </c:dLbls>
        <c:gapWidth val="76"/>
        <c:overlap val="-27"/>
        <c:axId val="1516007103"/>
        <c:axId val="1516007583"/>
      </c:barChart>
      <c:catAx>
        <c:axId val="1516007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516007583"/>
        <c:crosses val="autoZero"/>
        <c:auto val="0"/>
        <c:lblAlgn val="ctr"/>
        <c:lblOffset val="100"/>
        <c:noMultiLvlLbl val="0"/>
      </c:catAx>
      <c:valAx>
        <c:axId val="1516007583"/>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6007103"/>
        <c:crossesAt val="0"/>
        <c:crossBetween val="between"/>
        <c:dispUnits>
          <c:builtInUnit val="hundred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TABLES!PivotTable3</c:name>
    <c:fmtId val="3"/>
  </c:pivotSource>
  <c:chart>
    <c:autoTitleDeleted val="1"/>
    <c:pivotFmts>
      <c:pivotFmt>
        <c:idx val="0"/>
        <c:spPr>
          <a:solidFill>
            <a:schemeClr val="accent1"/>
          </a:solidFill>
          <a:ln>
            <a:noFill/>
          </a:ln>
          <a:effectLst/>
        </c:spPr>
        <c:marker>
          <c:symbol val="none"/>
        </c:marker>
        <c:dLbl>
          <c:idx val="0"/>
          <c:numFmt formatCode="0&quot;L&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8.4263678204662532E-2"/>
          <c:y val="9.2869036898988996E-2"/>
          <c:w val="0.88583486390127764"/>
          <c:h val="0.59558476850294551"/>
        </c:manualLayout>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numFmt formatCode="0&quot;L&quot;" sourceLinked="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Bruce Banner</c:v>
                </c:pt>
                <c:pt idx="1">
                  <c:v>Dustin Henderson</c:v>
                </c:pt>
                <c:pt idx="2">
                  <c:v>Eleven</c:v>
                </c:pt>
                <c:pt idx="3">
                  <c:v>Harry Potter</c:v>
                </c:pt>
                <c:pt idx="4">
                  <c:v>Hermione Granger</c:v>
                </c:pt>
                <c:pt idx="5">
                  <c:v>Nancy Wheeler</c:v>
                </c:pt>
                <c:pt idx="6">
                  <c:v>Natasha Romanoff</c:v>
                </c:pt>
                <c:pt idx="7">
                  <c:v>Peter Parker</c:v>
                </c:pt>
                <c:pt idx="8">
                  <c:v>Ron Weasley</c:v>
                </c:pt>
                <c:pt idx="9">
                  <c:v>Steve Rogers</c:v>
                </c:pt>
                <c:pt idx="10">
                  <c:v>Thor</c:v>
                </c:pt>
                <c:pt idx="11">
                  <c:v>Tony Stark</c:v>
                </c:pt>
              </c:strCache>
            </c:strRef>
          </c:cat>
          <c:val>
            <c:numRef>
              <c:f>'PIVOT TABLES'!$H$4:$H$16</c:f>
              <c:numCache>
                <c:formatCode>_ * #,##0_ ;_ * \-#,##0_ ;_ * "-"??_ ;_ @_ </c:formatCode>
                <c:ptCount val="12"/>
                <c:pt idx="0">
                  <c:v>10520000</c:v>
                </c:pt>
                <c:pt idx="1">
                  <c:v>13675000</c:v>
                </c:pt>
                <c:pt idx="2">
                  <c:v>28660000</c:v>
                </c:pt>
                <c:pt idx="3">
                  <c:v>29750000</c:v>
                </c:pt>
                <c:pt idx="4">
                  <c:v>13815000</c:v>
                </c:pt>
                <c:pt idx="5">
                  <c:v>8400000</c:v>
                </c:pt>
                <c:pt idx="6">
                  <c:v>7695000</c:v>
                </c:pt>
                <c:pt idx="7">
                  <c:v>17160000</c:v>
                </c:pt>
                <c:pt idx="8">
                  <c:v>7170000</c:v>
                </c:pt>
                <c:pt idx="9">
                  <c:v>23000000</c:v>
                </c:pt>
                <c:pt idx="10">
                  <c:v>19420000</c:v>
                </c:pt>
                <c:pt idx="11">
                  <c:v>19185000</c:v>
                </c:pt>
              </c:numCache>
            </c:numRef>
          </c:val>
          <c:extLst>
            <c:ext xmlns:c16="http://schemas.microsoft.com/office/drawing/2014/chart" uri="{C3380CC4-5D6E-409C-BE32-E72D297353CC}">
              <c16:uniqueId val="{00000000-A1F1-44B6-9FDF-4BEF7E494A73}"/>
            </c:ext>
          </c:extLst>
        </c:ser>
        <c:dLbls>
          <c:dLblPos val="outEnd"/>
          <c:showLegendKey val="0"/>
          <c:showVal val="1"/>
          <c:showCatName val="0"/>
          <c:showSerName val="0"/>
          <c:showPercent val="0"/>
          <c:showBubbleSize val="0"/>
        </c:dLbls>
        <c:gapWidth val="76"/>
        <c:overlap val="-27"/>
        <c:axId val="1516007103"/>
        <c:axId val="1516007583"/>
      </c:barChart>
      <c:catAx>
        <c:axId val="1516007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07583"/>
        <c:crosses val="autoZero"/>
        <c:auto val="0"/>
        <c:lblAlgn val="ctr"/>
        <c:lblOffset val="100"/>
        <c:noMultiLvlLbl val="0"/>
      </c:catAx>
      <c:valAx>
        <c:axId val="1516007583"/>
        <c:scaling>
          <c:orientation val="minMax"/>
        </c:scaling>
        <c:delete val="0"/>
        <c:axPos val="l"/>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07103"/>
        <c:crossesAt val="0"/>
        <c:crossBetween val="between"/>
        <c:dispUnits>
          <c:builtInUnit val="hundred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8888888888889"/>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6"/>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77B-49CC-98F7-E5D3323198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7B-49CC-98F7-E5D3323198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7B-49CC-98F7-E5D3323198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77B-49CC-98F7-E5D33231986C}"/>
              </c:ext>
            </c:extLst>
          </c:dPt>
          <c:dLbls>
            <c:dLbl>
              <c:idx val="0"/>
              <c:layout>
                <c:manualLayout>
                  <c:x val="0.1277777777777777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7B-49CC-98F7-E5D33231986C}"/>
                </c:ext>
              </c:extLst>
            </c:dLbl>
            <c:dLbl>
              <c:idx val="1"/>
              <c:layout>
                <c:manualLayout>
                  <c:x val="0.1388888888888889"/>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7B-49CC-98F7-E5D33231986C}"/>
                </c:ext>
              </c:extLst>
            </c:dLbl>
            <c:dLbl>
              <c:idx val="2"/>
              <c:layout>
                <c:manualLayout>
                  <c:x val="-0.1222222222222222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7B-49CC-98F7-E5D33231986C}"/>
                </c:ext>
              </c:extLst>
            </c:dLbl>
            <c:dLbl>
              <c:idx val="3"/>
              <c:layout>
                <c:manualLayout>
                  <c:x val="-0.1333333333333333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7B-49CC-98F7-E5D3323198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_(* #,##0_);_(* \(#,##0\);_(* "-"_);_(@_)</c:formatCode>
                <c:ptCount val="4"/>
                <c:pt idx="0">
                  <c:v>50890000</c:v>
                </c:pt>
                <c:pt idx="1">
                  <c:v>48315000</c:v>
                </c:pt>
                <c:pt idx="2">
                  <c:v>60820000</c:v>
                </c:pt>
                <c:pt idx="3">
                  <c:v>38425000</c:v>
                </c:pt>
              </c:numCache>
            </c:numRef>
          </c:val>
          <c:extLst>
            <c:ext xmlns:c16="http://schemas.microsoft.com/office/drawing/2014/chart" uri="{C3380CC4-5D6E-409C-BE32-E72D297353CC}">
              <c16:uniqueId val="{00000000-377B-49CC-98F7-E5D33231986C}"/>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TABLES!PivotTable2</c:name>
    <c:fmtId val="2"/>
  </c:pivotSource>
  <c:chart>
    <c:autoTitleDeleted val="1"/>
    <c:pivotFmts>
      <c:pivotFmt>
        <c:idx val="0"/>
        <c:spPr>
          <a:solidFill>
            <a:schemeClr val="accent1"/>
          </a:solidFill>
          <a:ln>
            <a:noFill/>
          </a:ln>
          <a:effectLst/>
        </c:spPr>
        <c:marker>
          <c:symbol val="none"/>
        </c:marker>
        <c:dLbl>
          <c:idx val="0"/>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1469816272967"/>
          <c:y val="0.10185185185185185"/>
          <c:w val="0.85658530183727033"/>
          <c:h val="0.89814814814814814"/>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numFmt formatCode="0&quot;L&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Laptop</c:v>
                </c:pt>
                <c:pt idx="1">
                  <c:v>Mobile</c:v>
                </c:pt>
                <c:pt idx="2">
                  <c:v>Printer</c:v>
                </c:pt>
                <c:pt idx="3">
                  <c:v>Tablet</c:v>
                </c:pt>
              </c:strCache>
            </c:strRef>
          </c:cat>
          <c:val>
            <c:numRef>
              <c:f>'PIVOT TABLES'!$E$4:$E$8</c:f>
              <c:numCache>
                <c:formatCode>_ * #,##0_ ;_ * \-#,##0_ ;_ * "-"??_ ;_ @_ </c:formatCode>
                <c:ptCount val="4"/>
                <c:pt idx="0">
                  <c:v>78480000</c:v>
                </c:pt>
                <c:pt idx="1">
                  <c:v>84760000</c:v>
                </c:pt>
                <c:pt idx="2">
                  <c:v>8085000</c:v>
                </c:pt>
                <c:pt idx="3">
                  <c:v>27125000</c:v>
                </c:pt>
              </c:numCache>
            </c:numRef>
          </c:val>
          <c:extLst>
            <c:ext xmlns:c16="http://schemas.microsoft.com/office/drawing/2014/chart" uri="{C3380CC4-5D6E-409C-BE32-E72D297353CC}">
              <c16:uniqueId val="{00000000-4048-4C59-8984-1A54BA606414}"/>
            </c:ext>
          </c:extLst>
        </c:ser>
        <c:dLbls>
          <c:dLblPos val="outEnd"/>
          <c:showLegendKey val="0"/>
          <c:showVal val="1"/>
          <c:showCatName val="0"/>
          <c:showSerName val="0"/>
          <c:showPercent val="0"/>
          <c:showBubbleSize val="0"/>
        </c:dLbls>
        <c:gapWidth val="52"/>
        <c:axId val="1516014783"/>
        <c:axId val="1516009503"/>
      </c:barChart>
      <c:catAx>
        <c:axId val="1516014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09503"/>
        <c:crosses val="autoZero"/>
        <c:auto val="1"/>
        <c:lblAlgn val="ctr"/>
        <c:lblOffset val="100"/>
        <c:noMultiLvlLbl val="0"/>
      </c:catAx>
      <c:valAx>
        <c:axId val="1516009503"/>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14783"/>
        <c:crosses val="autoZero"/>
        <c:crossBetween val="between"/>
        <c:dispUnits>
          <c:builtInUnit val="hundred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[Excel-Sales-Dashboard.xlsx]PIVOT TABLES!PivotTable4</c:name>
    <c:fmtId val="2"/>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dist="25400" dir="2700000" algn="tl" rotWithShape="0">
              <a:schemeClr val="accent1"/>
            </a:outerShdw>
          </a:effectLst>
        </c:spPr>
        <c:marker>
          <c:symbol val="circle"/>
          <c:size val="8"/>
          <c:spPr>
            <a:solidFill>
              <a:schemeClr val="accent2"/>
            </a:solidFill>
            <a:ln w="22225">
              <a:solidFill>
                <a:schemeClr val="accent1"/>
              </a:solidFill>
              <a:round/>
            </a:ln>
            <a:effectLst/>
          </c:spPr>
        </c:marker>
      </c:pivotFmt>
    </c:pivotFmts>
    <c:plotArea>
      <c:layout/>
      <c:lineChart>
        <c:grouping val="standard"/>
        <c:varyColors val="0"/>
        <c:ser>
          <c:idx val="0"/>
          <c:order val="0"/>
          <c:tx>
            <c:strRef>
              <c:f>'PIVOT TABLES'!$L$3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8"/>
            <c:spPr>
              <a:noFill/>
              <a:ln w="22225">
                <a:solidFill>
                  <a:schemeClr val="accent1"/>
                </a:solidFill>
                <a:round/>
              </a:ln>
              <a:effectLst/>
            </c:spPr>
          </c:marker>
          <c:dPt>
            <c:idx val="2"/>
            <c:marker>
              <c:symbol val="circle"/>
              <c:size val="8"/>
              <c:spPr>
                <a:solidFill>
                  <a:schemeClr val="accent2"/>
                </a:solidFill>
                <a:ln w="22225">
                  <a:solidFill>
                    <a:schemeClr val="accent1"/>
                  </a:solidFill>
                  <a:round/>
                </a:ln>
                <a:effectLst/>
              </c:spPr>
            </c:marker>
            <c:bubble3D val="0"/>
            <c:spPr>
              <a:ln w="34925" cap="rnd">
                <a:solidFill>
                  <a:schemeClr val="accent1"/>
                </a:solidFill>
                <a:round/>
              </a:ln>
              <a:effectLst>
                <a:outerShdw dist="25400" dir="2700000" algn="tl" rotWithShape="0">
                  <a:schemeClr val="accent1"/>
                </a:outerShdw>
              </a:effectLst>
            </c:spPr>
            <c:extLst>
              <c:ext xmlns:c16="http://schemas.microsoft.com/office/drawing/2014/chart" uri="{C3380CC4-5D6E-409C-BE32-E72D297353CC}">
                <c16:uniqueId val="{00000004-1C52-437D-A7EF-A65742C9C30E}"/>
              </c:ext>
            </c:extLst>
          </c:dPt>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TABLES'!$K$4:$K$8</c:f>
              <c:strCache>
                <c:ptCount val="4"/>
                <c:pt idx="0">
                  <c:v>Laptop</c:v>
                </c:pt>
                <c:pt idx="1">
                  <c:v>Mobile</c:v>
                </c:pt>
                <c:pt idx="2">
                  <c:v>Printer</c:v>
                </c:pt>
                <c:pt idx="3">
                  <c:v>Tablet</c:v>
                </c:pt>
              </c:strCache>
            </c:strRef>
          </c:cat>
          <c:val>
            <c:numRef>
              <c:f>'PIVOT TABLES'!$L$4:$L$8</c:f>
              <c:numCache>
                <c:formatCode>General</c:formatCode>
                <c:ptCount val="4"/>
                <c:pt idx="0">
                  <c:v>1308</c:v>
                </c:pt>
                <c:pt idx="1">
                  <c:v>2119</c:v>
                </c:pt>
                <c:pt idx="2">
                  <c:v>539</c:v>
                </c:pt>
                <c:pt idx="3">
                  <c:v>775</c:v>
                </c:pt>
              </c:numCache>
            </c:numRef>
          </c:val>
          <c:smooth val="0"/>
          <c:extLst>
            <c:ext xmlns:c16="http://schemas.microsoft.com/office/drawing/2014/chart" uri="{C3380CC4-5D6E-409C-BE32-E72D297353CC}">
              <c16:uniqueId val="{00000000-0CF0-4A91-B889-CE42053FCA95}"/>
            </c:ext>
          </c:extLst>
        </c:ser>
        <c:dLbls>
          <c:dLblPos val="t"/>
          <c:showLegendKey val="0"/>
          <c:showVal val="1"/>
          <c:showCatName val="0"/>
          <c:showSerName val="0"/>
          <c:showPercent val="0"/>
          <c:showBubbleSize val="0"/>
        </c:dLbls>
        <c:dropLines>
          <c:spPr>
            <a:ln w="34925" cap="flat" cmpd="sng" algn="ctr">
              <a:solidFill>
                <a:schemeClr val="accent1"/>
              </a:solidFill>
              <a:round/>
            </a:ln>
            <a:effectLst/>
          </c:spPr>
        </c:dropLines>
        <c:marker val="1"/>
        <c:smooth val="0"/>
        <c:axId val="1454367071"/>
        <c:axId val="1516008063"/>
      </c:lineChart>
      <c:catAx>
        <c:axId val="1454367071"/>
        <c:scaling>
          <c:orientation val="minMax"/>
        </c:scaling>
        <c:delete val="0"/>
        <c:axPos val="b"/>
        <c:numFmt formatCode="General" sourceLinked="1"/>
        <c:majorTickMark val="out"/>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1516008063"/>
        <c:crosses val="autoZero"/>
        <c:auto val="1"/>
        <c:lblAlgn val="ctr"/>
        <c:lblOffset val="100"/>
        <c:noMultiLvlLbl val="0"/>
      </c:catAx>
      <c:valAx>
        <c:axId val="1516008063"/>
        <c:scaling>
          <c:orientation val="minMax"/>
        </c:scaling>
        <c:delete val="1"/>
        <c:axPos val="l"/>
        <c:numFmt formatCode="General" sourceLinked="1"/>
        <c:majorTickMark val="out"/>
        <c:minorTickMark val="none"/>
        <c:tickLblPos val="nextTo"/>
        <c:crossAx val="1454367071"/>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hyperlink" Target="https://freepngimg.com/png/48755-earnings-png-download-free" TargetMode="Externa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16933</xdr:colOff>
      <xdr:row>9</xdr:row>
      <xdr:rowOff>61451</xdr:rowOff>
    </xdr:from>
    <xdr:to>
      <xdr:col>11</xdr:col>
      <xdr:colOff>204839</xdr:colOff>
      <xdr:row>21</xdr:row>
      <xdr:rowOff>122903</xdr:rowOff>
    </xdr:to>
    <xdr:sp macro="" textlink="">
      <xdr:nvSpPr>
        <xdr:cNvPr id="2" name="Rectangle: Rounded Corners 1">
          <a:extLst>
            <a:ext uri="{FF2B5EF4-FFF2-40B4-BE49-F238E27FC236}">
              <a16:creationId xmlns:a16="http://schemas.microsoft.com/office/drawing/2014/main" id="{3DB4A940-9639-645F-BAEE-D27FCDCE7073}"/>
            </a:ext>
          </a:extLst>
        </xdr:cNvPr>
        <xdr:cNvSpPr/>
      </xdr:nvSpPr>
      <xdr:spPr>
        <a:xfrm>
          <a:off x="1860481" y="1812822"/>
          <a:ext cx="5104035" cy="2396613"/>
        </a:xfrm>
        <a:prstGeom prst="roundRect">
          <a:avLst>
            <a:gd name="adj" fmla="val 16179"/>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lumMod val="50000"/>
                </a:schemeClr>
              </a:solidFill>
            </a:rPr>
            <a:t>Units Sold by Product</a:t>
          </a:r>
          <a:endParaRPr lang="en-IN" sz="1200" b="1">
            <a:solidFill>
              <a:schemeClr val="accent1">
                <a:lumMod val="50000"/>
              </a:schemeClr>
            </a:solidFill>
          </a:endParaRPr>
        </a:p>
      </xdr:txBody>
    </xdr:sp>
    <xdr:clientData/>
  </xdr:twoCellAnchor>
  <xdr:twoCellAnchor>
    <xdr:from>
      <xdr:col>0</xdr:col>
      <xdr:colOff>61913</xdr:colOff>
      <xdr:row>3</xdr:row>
      <xdr:rowOff>157771</xdr:rowOff>
    </xdr:from>
    <xdr:to>
      <xdr:col>3</xdr:col>
      <xdr:colOff>499829</xdr:colOff>
      <xdr:row>8</xdr:row>
      <xdr:rowOff>79228</xdr:rowOff>
    </xdr:to>
    <xdr:grpSp>
      <xdr:nvGrpSpPr>
        <xdr:cNvPr id="7" name="Group 6">
          <a:extLst>
            <a:ext uri="{FF2B5EF4-FFF2-40B4-BE49-F238E27FC236}">
              <a16:creationId xmlns:a16="http://schemas.microsoft.com/office/drawing/2014/main" id="{D08E4B46-8F32-4333-FCEA-085FBD94E88B}"/>
            </a:ext>
          </a:extLst>
        </xdr:cNvPr>
        <xdr:cNvGrpSpPr/>
      </xdr:nvGrpSpPr>
      <xdr:grpSpPr>
        <a:xfrm>
          <a:off x="61913" y="712211"/>
          <a:ext cx="2271834" cy="845524"/>
          <a:chOff x="0" y="856179"/>
          <a:chExt cx="2268000" cy="884659"/>
        </a:xfrm>
      </xdr:grpSpPr>
      <xdr:sp macro="" textlink="">
        <xdr:nvSpPr>
          <xdr:cNvPr id="3" name="Rectangle: Rounded Corners 2">
            <a:extLst>
              <a:ext uri="{FF2B5EF4-FFF2-40B4-BE49-F238E27FC236}">
                <a16:creationId xmlns:a16="http://schemas.microsoft.com/office/drawing/2014/main" id="{C3014D5F-90C5-4F57-BA01-12D3EF928B33}"/>
              </a:ext>
            </a:extLst>
          </xdr:cNvPr>
          <xdr:cNvSpPr/>
        </xdr:nvSpPr>
        <xdr:spPr>
          <a:xfrm>
            <a:off x="0" y="888287"/>
            <a:ext cx="2268000" cy="835200"/>
          </a:xfrm>
          <a:prstGeom prst="roundRect">
            <a:avLst>
              <a:gd name="adj" fmla="val 2427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090FEB3-A4CC-4F27-ACAD-234DB642CEEC}"/>
              </a:ext>
            </a:extLst>
          </xdr:cNvPr>
          <xdr:cNvSpPr/>
        </xdr:nvSpPr>
        <xdr:spPr>
          <a:xfrm rot="5400000">
            <a:off x="-32879" y="894589"/>
            <a:ext cx="884659" cy="807839"/>
          </a:xfrm>
          <a:prstGeom prst="roundRect">
            <a:avLst>
              <a:gd name="adj" fmla="val 27906"/>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50000"/>
                </a:schemeClr>
              </a:solidFill>
            </a:endParaRPr>
          </a:p>
        </xdr:txBody>
      </xdr:sp>
      <xdr:sp macro="" textlink="">
        <xdr:nvSpPr>
          <xdr:cNvPr id="5" name="TextBox 4">
            <a:extLst>
              <a:ext uri="{FF2B5EF4-FFF2-40B4-BE49-F238E27FC236}">
                <a16:creationId xmlns:a16="http://schemas.microsoft.com/office/drawing/2014/main" id="{40D40251-DEB8-7B12-FD99-B8DE3F4A762C}"/>
              </a:ext>
            </a:extLst>
          </xdr:cNvPr>
          <xdr:cNvSpPr txBox="1"/>
        </xdr:nvSpPr>
        <xdr:spPr>
          <a:xfrm>
            <a:off x="920392" y="952500"/>
            <a:ext cx="1059523" cy="256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TOTAL SALES</a:t>
            </a:r>
          </a:p>
        </xdr:txBody>
      </xdr:sp>
      <xdr:sp macro="" textlink="'SALES DATA'!K2">
        <xdr:nvSpPr>
          <xdr:cNvPr id="6" name="TextBox 5">
            <a:extLst>
              <a:ext uri="{FF2B5EF4-FFF2-40B4-BE49-F238E27FC236}">
                <a16:creationId xmlns:a16="http://schemas.microsoft.com/office/drawing/2014/main" id="{415EA639-0232-6DC5-ED6C-81A0041CE245}"/>
              </a:ext>
            </a:extLst>
          </xdr:cNvPr>
          <xdr:cNvSpPr txBox="1"/>
        </xdr:nvSpPr>
        <xdr:spPr>
          <a:xfrm>
            <a:off x="856181" y="1241460"/>
            <a:ext cx="1316376" cy="31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C03016-35D3-48A2-8379-C89612747AC2}" type="TxLink">
              <a:rPr lang="en-US" sz="1600" b="1" i="0" u="none" strike="noStrike">
                <a:solidFill>
                  <a:schemeClr val="accent1"/>
                </a:solidFill>
                <a:latin typeface="Apstos Narrow"/>
                <a:ea typeface="Calibri"/>
                <a:cs typeface="Calibri"/>
              </a:rPr>
              <a:pPr/>
              <a:t> 19,84,50,000 </a:t>
            </a:fld>
            <a:endParaRPr lang="en-IN" sz="1600" b="1">
              <a:solidFill>
                <a:schemeClr val="accent1"/>
              </a:solidFill>
              <a:latin typeface="Apstos Narrow"/>
            </a:endParaRPr>
          </a:p>
        </xdr:txBody>
      </xdr:sp>
    </xdr:grpSp>
    <xdr:clientData/>
  </xdr:twoCellAnchor>
  <xdr:twoCellAnchor>
    <xdr:from>
      <xdr:col>3</xdr:col>
      <xdr:colOff>586783</xdr:colOff>
      <xdr:row>3</xdr:row>
      <xdr:rowOff>167553</xdr:rowOff>
    </xdr:from>
    <xdr:to>
      <xdr:col>7</xdr:col>
      <xdr:colOff>414670</xdr:colOff>
      <xdr:row>8</xdr:row>
      <xdr:rowOff>89010</xdr:rowOff>
    </xdr:to>
    <xdr:grpSp>
      <xdr:nvGrpSpPr>
        <xdr:cNvPr id="8" name="Group 7">
          <a:extLst>
            <a:ext uri="{FF2B5EF4-FFF2-40B4-BE49-F238E27FC236}">
              <a16:creationId xmlns:a16="http://schemas.microsoft.com/office/drawing/2014/main" id="{8D8BCCEE-818B-C103-7B34-858127700649}"/>
            </a:ext>
          </a:extLst>
        </xdr:cNvPr>
        <xdr:cNvGrpSpPr/>
      </xdr:nvGrpSpPr>
      <xdr:grpSpPr>
        <a:xfrm>
          <a:off x="2420701" y="721993"/>
          <a:ext cx="2273111" cy="845524"/>
          <a:chOff x="0" y="856179"/>
          <a:chExt cx="2268000" cy="884659"/>
        </a:xfrm>
      </xdr:grpSpPr>
      <xdr:sp macro="" textlink="">
        <xdr:nvSpPr>
          <xdr:cNvPr id="9" name="Rectangle: Rounded Corners 8">
            <a:extLst>
              <a:ext uri="{FF2B5EF4-FFF2-40B4-BE49-F238E27FC236}">
                <a16:creationId xmlns:a16="http://schemas.microsoft.com/office/drawing/2014/main" id="{FD10BAF3-9746-2A52-86A1-7720BB2490D4}"/>
              </a:ext>
            </a:extLst>
          </xdr:cNvPr>
          <xdr:cNvSpPr/>
        </xdr:nvSpPr>
        <xdr:spPr>
          <a:xfrm>
            <a:off x="0" y="888287"/>
            <a:ext cx="2268000" cy="835200"/>
          </a:xfrm>
          <a:prstGeom prst="roundRect">
            <a:avLst>
              <a:gd name="adj" fmla="val 2427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23ACA621-D97C-943A-6386-44055970DC64}"/>
              </a:ext>
            </a:extLst>
          </xdr:cNvPr>
          <xdr:cNvSpPr/>
        </xdr:nvSpPr>
        <xdr:spPr>
          <a:xfrm rot="5400000">
            <a:off x="-32879" y="894589"/>
            <a:ext cx="884659" cy="807839"/>
          </a:xfrm>
          <a:prstGeom prst="roundRect">
            <a:avLst>
              <a:gd name="adj" fmla="val 27906"/>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808C19B2-0A8D-D4A5-F002-F4D832CA397C}"/>
              </a:ext>
            </a:extLst>
          </xdr:cNvPr>
          <xdr:cNvSpPr txBox="1"/>
        </xdr:nvSpPr>
        <xdr:spPr>
          <a:xfrm>
            <a:off x="920392" y="952500"/>
            <a:ext cx="1187951" cy="256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AVERAGE</a:t>
            </a:r>
            <a:r>
              <a:rPr lang="en-IN" sz="1100" b="1" baseline="0">
                <a:solidFill>
                  <a:schemeClr val="accent1"/>
                </a:solidFill>
              </a:rPr>
              <a:t> SALES</a:t>
            </a:r>
            <a:endParaRPr lang="en-IN" sz="1100" b="1">
              <a:solidFill>
                <a:schemeClr val="accent1"/>
              </a:solidFill>
            </a:endParaRPr>
          </a:p>
        </xdr:txBody>
      </xdr:sp>
      <xdr:sp macro="" textlink="'SALES DATA'!K8">
        <xdr:nvSpPr>
          <xdr:cNvPr id="12" name="TextBox 11">
            <a:extLst>
              <a:ext uri="{FF2B5EF4-FFF2-40B4-BE49-F238E27FC236}">
                <a16:creationId xmlns:a16="http://schemas.microsoft.com/office/drawing/2014/main" id="{3C9D3A1A-B413-5571-DFDB-AC1DB8546F57}"/>
              </a:ext>
            </a:extLst>
          </xdr:cNvPr>
          <xdr:cNvSpPr txBox="1"/>
        </xdr:nvSpPr>
        <xdr:spPr>
          <a:xfrm>
            <a:off x="856181" y="1241460"/>
            <a:ext cx="1316376" cy="31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0DA2DE-B148-44A2-90DB-C63777568A94}" type="TxLink">
              <a:rPr lang="en-US" sz="1800" b="1" i="0" u="none" strike="noStrike">
                <a:solidFill>
                  <a:schemeClr val="accent1"/>
                </a:solidFill>
                <a:latin typeface="Apstos Narrow"/>
                <a:ea typeface="Calibri"/>
                <a:cs typeface="Calibri"/>
              </a:rPr>
              <a:pPr/>
              <a:t> 39,69,000 </a:t>
            </a:fld>
            <a:endParaRPr lang="en-IN" sz="2800" b="1">
              <a:solidFill>
                <a:schemeClr val="accent1"/>
              </a:solidFill>
              <a:latin typeface="Apstos Narrow"/>
            </a:endParaRPr>
          </a:p>
        </xdr:txBody>
      </xdr:sp>
    </xdr:grpSp>
    <xdr:clientData/>
  </xdr:twoCellAnchor>
  <xdr:twoCellAnchor>
    <xdr:from>
      <xdr:col>7</xdr:col>
      <xdr:colOff>513247</xdr:colOff>
      <xdr:row>3</xdr:row>
      <xdr:rowOff>187576</xdr:rowOff>
    </xdr:from>
    <xdr:to>
      <xdr:col>11</xdr:col>
      <xdr:colOff>341135</xdr:colOff>
      <xdr:row>8</xdr:row>
      <xdr:rowOff>107076</xdr:rowOff>
    </xdr:to>
    <xdr:grpSp>
      <xdr:nvGrpSpPr>
        <xdr:cNvPr id="13" name="Group 12">
          <a:extLst>
            <a:ext uri="{FF2B5EF4-FFF2-40B4-BE49-F238E27FC236}">
              <a16:creationId xmlns:a16="http://schemas.microsoft.com/office/drawing/2014/main" id="{5E85A6A0-E088-0D7C-381B-6085554193D2}"/>
            </a:ext>
          </a:extLst>
        </xdr:cNvPr>
        <xdr:cNvGrpSpPr/>
      </xdr:nvGrpSpPr>
      <xdr:grpSpPr>
        <a:xfrm>
          <a:off x="4792389" y="742016"/>
          <a:ext cx="2273112" cy="843567"/>
          <a:chOff x="0" y="856179"/>
          <a:chExt cx="2268000" cy="884659"/>
        </a:xfrm>
      </xdr:grpSpPr>
      <xdr:sp macro="" textlink="">
        <xdr:nvSpPr>
          <xdr:cNvPr id="14" name="Rectangle: Rounded Corners 13">
            <a:extLst>
              <a:ext uri="{FF2B5EF4-FFF2-40B4-BE49-F238E27FC236}">
                <a16:creationId xmlns:a16="http://schemas.microsoft.com/office/drawing/2014/main" id="{C6638F63-AA15-86FF-B750-6B065B93488A}"/>
              </a:ext>
            </a:extLst>
          </xdr:cNvPr>
          <xdr:cNvSpPr/>
        </xdr:nvSpPr>
        <xdr:spPr>
          <a:xfrm>
            <a:off x="0" y="888287"/>
            <a:ext cx="2268000" cy="835200"/>
          </a:xfrm>
          <a:prstGeom prst="roundRect">
            <a:avLst>
              <a:gd name="adj" fmla="val 2427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9A7FE273-9EA6-8050-CC0E-332D3F429B10}"/>
              </a:ext>
            </a:extLst>
          </xdr:cNvPr>
          <xdr:cNvSpPr/>
        </xdr:nvSpPr>
        <xdr:spPr>
          <a:xfrm rot="5400000">
            <a:off x="-32879" y="894589"/>
            <a:ext cx="884659" cy="807839"/>
          </a:xfrm>
          <a:prstGeom prst="roundRect">
            <a:avLst>
              <a:gd name="adj" fmla="val 27906"/>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4585A219-0065-E330-DC57-975B35D7168D}"/>
              </a:ext>
            </a:extLst>
          </xdr:cNvPr>
          <xdr:cNvSpPr txBox="1"/>
        </xdr:nvSpPr>
        <xdr:spPr>
          <a:xfrm>
            <a:off x="920392" y="952500"/>
            <a:ext cx="1059523" cy="256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UNITS</a:t>
            </a:r>
            <a:r>
              <a:rPr lang="en-IN" sz="1100" b="1" baseline="0">
                <a:solidFill>
                  <a:schemeClr val="accent1"/>
                </a:solidFill>
              </a:rPr>
              <a:t> SOLD</a:t>
            </a:r>
            <a:endParaRPr lang="en-IN" sz="1100" b="1">
              <a:solidFill>
                <a:schemeClr val="accent1"/>
              </a:solidFill>
            </a:endParaRPr>
          </a:p>
        </xdr:txBody>
      </xdr:sp>
      <xdr:sp macro="" textlink="'SALES DATA'!K4">
        <xdr:nvSpPr>
          <xdr:cNvPr id="17" name="TextBox 16">
            <a:extLst>
              <a:ext uri="{FF2B5EF4-FFF2-40B4-BE49-F238E27FC236}">
                <a16:creationId xmlns:a16="http://schemas.microsoft.com/office/drawing/2014/main" id="{0EC5D2F6-80B2-72EE-98F3-4656B4159173}"/>
              </a:ext>
            </a:extLst>
          </xdr:cNvPr>
          <xdr:cNvSpPr txBox="1"/>
        </xdr:nvSpPr>
        <xdr:spPr>
          <a:xfrm>
            <a:off x="856181" y="1241460"/>
            <a:ext cx="1316376" cy="31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4FC6C9-E96A-48BA-9208-6D3F92720376}" type="TxLink">
              <a:rPr lang="en-US" sz="1800" b="1" i="0" u="none" strike="noStrike">
                <a:solidFill>
                  <a:schemeClr val="accent1"/>
                </a:solidFill>
                <a:latin typeface="Apstos Narrow"/>
                <a:ea typeface="Calibri"/>
                <a:cs typeface="Calibri"/>
              </a:rPr>
              <a:pPr algn="ctr"/>
              <a:t>4741</a:t>
            </a:fld>
            <a:endParaRPr lang="en-IN" sz="2800" b="1">
              <a:solidFill>
                <a:schemeClr val="accent1"/>
              </a:solidFill>
              <a:latin typeface="Apstos Narrow"/>
            </a:endParaRPr>
          </a:p>
        </xdr:txBody>
      </xdr:sp>
    </xdr:grpSp>
    <xdr:clientData/>
  </xdr:twoCellAnchor>
  <xdr:twoCellAnchor>
    <xdr:from>
      <xdr:col>11</xdr:col>
      <xdr:colOff>438332</xdr:colOff>
      <xdr:row>3</xdr:row>
      <xdr:rowOff>167554</xdr:rowOff>
    </xdr:from>
    <xdr:to>
      <xdr:col>15</xdr:col>
      <xdr:colOff>266220</xdr:colOff>
      <xdr:row>8</xdr:row>
      <xdr:rowOff>89011</xdr:rowOff>
    </xdr:to>
    <xdr:grpSp>
      <xdr:nvGrpSpPr>
        <xdr:cNvPr id="18" name="Group 17">
          <a:extLst>
            <a:ext uri="{FF2B5EF4-FFF2-40B4-BE49-F238E27FC236}">
              <a16:creationId xmlns:a16="http://schemas.microsoft.com/office/drawing/2014/main" id="{55169EE0-2341-36AA-89C8-3133BC6AED1D}"/>
            </a:ext>
          </a:extLst>
        </xdr:cNvPr>
        <xdr:cNvGrpSpPr/>
      </xdr:nvGrpSpPr>
      <xdr:grpSpPr>
        <a:xfrm>
          <a:off x="7162698" y="721994"/>
          <a:ext cx="2273112" cy="845524"/>
          <a:chOff x="0" y="856179"/>
          <a:chExt cx="2268000" cy="884659"/>
        </a:xfrm>
      </xdr:grpSpPr>
      <xdr:sp macro="" textlink="">
        <xdr:nvSpPr>
          <xdr:cNvPr id="19" name="Rectangle: Rounded Corners 18">
            <a:extLst>
              <a:ext uri="{FF2B5EF4-FFF2-40B4-BE49-F238E27FC236}">
                <a16:creationId xmlns:a16="http://schemas.microsoft.com/office/drawing/2014/main" id="{13CA5A32-849A-400E-2519-6BB23FB293D2}"/>
              </a:ext>
            </a:extLst>
          </xdr:cNvPr>
          <xdr:cNvSpPr/>
        </xdr:nvSpPr>
        <xdr:spPr>
          <a:xfrm>
            <a:off x="0" y="888287"/>
            <a:ext cx="2268000" cy="835200"/>
          </a:xfrm>
          <a:prstGeom prst="roundRect">
            <a:avLst>
              <a:gd name="adj" fmla="val 2427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44F62128-ADB5-38F0-6215-C8F9BF91A8BD}"/>
              </a:ext>
            </a:extLst>
          </xdr:cNvPr>
          <xdr:cNvSpPr/>
        </xdr:nvSpPr>
        <xdr:spPr>
          <a:xfrm rot="5400000">
            <a:off x="-32879" y="894589"/>
            <a:ext cx="884659" cy="807839"/>
          </a:xfrm>
          <a:prstGeom prst="roundRect">
            <a:avLst>
              <a:gd name="adj" fmla="val 27906"/>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5477EAA3-206B-CB5C-4BAF-1E614FFC074D}"/>
              </a:ext>
            </a:extLst>
          </xdr:cNvPr>
          <xdr:cNvSpPr txBox="1"/>
        </xdr:nvSpPr>
        <xdr:spPr>
          <a:xfrm>
            <a:off x="920392" y="952500"/>
            <a:ext cx="1059523" cy="256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solidFill>
              </a:rPr>
              <a:t>PROFIT</a:t>
            </a:r>
          </a:p>
        </xdr:txBody>
      </xdr:sp>
      <xdr:sp macro="" textlink="'SALES DATA'!K6">
        <xdr:nvSpPr>
          <xdr:cNvPr id="22" name="TextBox 21">
            <a:extLst>
              <a:ext uri="{FF2B5EF4-FFF2-40B4-BE49-F238E27FC236}">
                <a16:creationId xmlns:a16="http://schemas.microsoft.com/office/drawing/2014/main" id="{9206EAB7-8AE2-E477-7666-3AA7D987813B}"/>
              </a:ext>
            </a:extLst>
          </xdr:cNvPr>
          <xdr:cNvSpPr txBox="1"/>
        </xdr:nvSpPr>
        <xdr:spPr>
          <a:xfrm>
            <a:off x="856180" y="1241460"/>
            <a:ext cx="1369885" cy="31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E0F998-B2C1-4871-BCE5-618BA2778DE8}" type="TxLink">
              <a:rPr lang="en-US" sz="1800" b="1" i="0" u="none" strike="noStrike">
                <a:solidFill>
                  <a:schemeClr val="accent1"/>
                </a:solidFill>
                <a:latin typeface="Apstos Narrow"/>
                <a:ea typeface="Calibri"/>
                <a:cs typeface="Calibri"/>
              </a:rPr>
              <a:pPr/>
              <a:t> 5,77,95,000 </a:t>
            </a:fld>
            <a:endParaRPr lang="en-IN" sz="2800" b="1">
              <a:solidFill>
                <a:schemeClr val="accent1"/>
              </a:solidFill>
              <a:latin typeface="Apstos Narrow"/>
            </a:endParaRPr>
          </a:p>
        </xdr:txBody>
      </xdr:sp>
    </xdr:grpSp>
    <xdr:clientData/>
  </xdr:twoCellAnchor>
  <xdr:twoCellAnchor editAs="oneCell">
    <xdr:from>
      <xdr:col>0</xdr:col>
      <xdr:colOff>192640</xdr:colOff>
      <xdr:row>5</xdr:row>
      <xdr:rowOff>45570</xdr:rowOff>
    </xdr:from>
    <xdr:to>
      <xdr:col>1</xdr:col>
      <xdr:colOff>111113</xdr:colOff>
      <xdr:row>7</xdr:row>
      <xdr:rowOff>154548</xdr:rowOff>
    </xdr:to>
    <xdr:pic>
      <xdr:nvPicPr>
        <xdr:cNvPr id="24" name="Graphic 23" descr="Rupee">
          <a:extLst>
            <a:ext uri="{FF2B5EF4-FFF2-40B4-BE49-F238E27FC236}">
              <a16:creationId xmlns:a16="http://schemas.microsoft.com/office/drawing/2014/main" id="{2E182FB8-A5CE-E95C-E1F5-5E635F36601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2640" y="1018554"/>
          <a:ext cx="532989" cy="498171"/>
        </a:xfrm>
        <a:prstGeom prst="rect">
          <a:avLst/>
        </a:prstGeom>
      </xdr:spPr>
    </xdr:pic>
    <xdr:clientData/>
  </xdr:twoCellAnchor>
  <xdr:twoCellAnchor editAs="oneCell">
    <xdr:from>
      <xdr:col>4</xdr:col>
      <xdr:colOff>148912</xdr:colOff>
      <xdr:row>4</xdr:row>
      <xdr:rowOff>155472</xdr:rowOff>
    </xdr:from>
    <xdr:to>
      <xdr:col>5</xdr:col>
      <xdr:colOff>9849</xdr:colOff>
      <xdr:row>7</xdr:row>
      <xdr:rowOff>117017</xdr:rowOff>
    </xdr:to>
    <xdr:pic>
      <xdr:nvPicPr>
        <xdr:cNvPr id="26" name="Graphic 25" descr="Coins">
          <a:extLst>
            <a:ext uri="{FF2B5EF4-FFF2-40B4-BE49-F238E27FC236}">
              <a16:creationId xmlns:a16="http://schemas.microsoft.com/office/drawing/2014/main" id="{9AA41E95-E9E2-2DEB-23E8-ED8B22528A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606977" y="933859"/>
          <a:ext cx="475453" cy="545335"/>
        </a:xfrm>
        <a:prstGeom prst="rect">
          <a:avLst/>
        </a:prstGeom>
      </xdr:spPr>
    </xdr:pic>
    <xdr:clientData/>
  </xdr:twoCellAnchor>
  <xdr:twoCellAnchor editAs="oneCell">
    <xdr:from>
      <xdr:col>8</xdr:col>
      <xdr:colOff>107362</xdr:colOff>
      <xdr:row>5</xdr:row>
      <xdr:rowOff>14383</xdr:rowOff>
    </xdr:from>
    <xdr:to>
      <xdr:col>8</xdr:col>
      <xdr:colOff>545676</xdr:colOff>
      <xdr:row>7</xdr:row>
      <xdr:rowOff>134063</xdr:rowOff>
    </xdr:to>
    <xdr:pic>
      <xdr:nvPicPr>
        <xdr:cNvPr id="28" name="Graphic 27" descr="Gold bars">
          <a:extLst>
            <a:ext uri="{FF2B5EF4-FFF2-40B4-BE49-F238E27FC236}">
              <a16:creationId xmlns:a16="http://schemas.microsoft.com/office/drawing/2014/main" id="{B89CAA70-6EF1-7B9A-B097-9D711B6DED7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023491" y="987367"/>
          <a:ext cx="438314" cy="508873"/>
        </a:xfrm>
        <a:prstGeom prst="rect">
          <a:avLst/>
        </a:prstGeom>
      </xdr:spPr>
    </xdr:pic>
    <xdr:clientData/>
  </xdr:twoCellAnchor>
  <xdr:twoCellAnchor editAs="oneCell">
    <xdr:from>
      <xdr:col>11</xdr:col>
      <xdr:colOff>599831</xdr:colOff>
      <xdr:row>4</xdr:row>
      <xdr:rowOff>178716</xdr:rowOff>
    </xdr:from>
    <xdr:to>
      <xdr:col>12</xdr:col>
      <xdr:colOff>512952</xdr:colOff>
      <xdr:row>7</xdr:row>
      <xdr:rowOff>82396</xdr:rowOff>
    </xdr:to>
    <xdr:pic>
      <xdr:nvPicPr>
        <xdr:cNvPr id="30" name="Graphic 29" descr="Upward trend">
          <a:extLst>
            <a:ext uri="{FF2B5EF4-FFF2-40B4-BE49-F238E27FC236}">
              <a16:creationId xmlns:a16="http://schemas.microsoft.com/office/drawing/2014/main" id="{16B8AE17-595B-EE92-F304-9A70854616A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359508" y="957103"/>
          <a:ext cx="527638" cy="487470"/>
        </a:xfrm>
        <a:prstGeom prst="rect">
          <a:avLst/>
        </a:prstGeom>
      </xdr:spPr>
    </xdr:pic>
    <xdr:clientData/>
  </xdr:twoCellAnchor>
  <xdr:twoCellAnchor>
    <xdr:from>
      <xdr:col>5</xdr:col>
      <xdr:colOff>53512</xdr:colOff>
      <xdr:row>0</xdr:row>
      <xdr:rowOff>117724</xdr:rowOff>
    </xdr:from>
    <xdr:to>
      <xdr:col>16</xdr:col>
      <xdr:colOff>117724</xdr:colOff>
      <xdr:row>3</xdr:row>
      <xdr:rowOff>107023</xdr:rowOff>
    </xdr:to>
    <xdr:sp macro="" textlink="">
      <xdr:nvSpPr>
        <xdr:cNvPr id="31" name="TextBox 30">
          <a:extLst>
            <a:ext uri="{FF2B5EF4-FFF2-40B4-BE49-F238E27FC236}">
              <a16:creationId xmlns:a16="http://schemas.microsoft.com/office/drawing/2014/main" id="{CEBD2FEC-1C9C-C0D9-19EB-D0470846466B}"/>
            </a:ext>
          </a:extLst>
        </xdr:cNvPr>
        <xdr:cNvSpPr txBox="1"/>
      </xdr:nvSpPr>
      <xdr:spPr>
        <a:xfrm>
          <a:off x="3103652" y="117724"/>
          <a:ext cx="6774521" cy="567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1"/>
              </a:solidFill>
              <a:latin typeface="+mn-lt"/>
            </a:rPr>
            <a:t>Sales</a:t>
          </a:r>
          <a:r>
            <a:rPr lang="en-IN" sz="2800" b="1" baseline="0">
              <a:solidFill>
                <a:schemeClr val="accent1"/>
              </a:solidFill>
              <a:latin typeface="+mn-lt"/>
            </a:rPr>
            <a:t> Dashboard - 2026</a:t>
          </a:r>
          <a:endParaRPr lang="en-IN" sz="2800" b="1">
            <a:solidFill>
              <a:schemeClr val="accent1"/>
            </a:solidFill>
            <a:latin typeface="+mn-lt"/>
          </a:endParaRPr>
        </a:p>
      </xdr:txBody>
    </xdr:sp>
    <xdr:clientData/>
  </xdr:twoCellAnchor>
  <xdr:twoCellAnchor editAs="oneCell">
    <xdr:from>
      <xdr:col>6</xdr:col>
      <xdr:colOff>476797</xdr:colOff>
      <xdr:row>0</xdr:row>
      <xdr:rowOff>139247</xdr:rowOff>
    </xdr:from>
    <xdr:to>
      <xdr:col>7</xdr:col>
      <xdr:colOff>342472</xdr:colOff>
      <xdr:row>3</xdr:row>
      <xdr:rowOff>71380</xdr:rowOff>
    </xdr:to>
    <xdr:pic>
      <xdr:nvPicPr>
        <xdr:cNvPr id="33" name="Picture 32">
          <a:extLst>
            <a:ext uri="{FF2B5EF4-FFF2-40B4-BE49-F238E27FC236}">
              <a16:creationId xmlns:a16="http://schemas.microsoft.com/office/drawing/2014/main" id="{4529FB9F-CB9D-6D05-6C63-BAFC5A5D52D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4136966" y="139247"/>
          <a:ext cx="475703" cy="510054"/>
        </a:xfrm>
        <a:prstGeom prst="rect">
          <a:avLst/>
        </a:prstGeom>
      </xdr:spPr>
    </xdr:pic>
    <xdr:clientData/>
  </xdr:twoCellAnchor>
  <xdr:twoCellAnchor editAs="oneCell">
    <xdr:from>
      <xdr:col>15</xdr:col>
      <xdr:colOff>583791</xdr:colOff>
      <xdr:row>4</xdr:row>
      <xdr:rowOff>81936</xdr:rowOff>
    </xdr:from>
    <xdr:to>
      <xdr:col>18</xdr:col>
      <xdr:colOff>578018</xdr:colOff>
      <xdr:row>8</xdr:row>
      <xdr:rowOff>33316</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B0C57E76-9525-4C04-8655-238A8C741C4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46427" y="827371"/>
              <a:ext cx="1826754" cy="696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20944</xdr:colOff>
      <xdr:row>8</xdr:row>
      <xdr:rowOff>146149</xdr:rowOff>
    </xdr:from>
    <xdr:to>
      <xdr:col>3</xdr:col>
      <xdr:colOff>20945</xdr:colOff>
      <xdr:row>16</xdr:row>
      <xdr:rowOff>135447</xdr:rowOff>
    </xdr:to>
    <mc:AlternateContent xmlns:mc="http://schemas.openxmlformats.org/markup-compatibility/2006" xmlns:a14="http://schemas.microsoft.com/office/drawing/2010/main">
      <mc:Choice Requires="a14">
        <xdr:graphicFrame macro="">
          <xdr:nvGraphicFramePr>
            <xdr:cNvPr id="38" name="Product 1">
              <a:extLst>
                <a:ext uri="{FF2B5EF4-FFF2-40B4-BE49-F238E27FC236}">
                  <a16:creationId xmlns:a16="http://schemas.microsoft.com/office/drawing/2014/main" id="{FC4544EF-3B5F-4878-9ADB-35C6412BD6A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944" y="1637019"/>
              <a:ext cx="1832528" cy="148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20944</xdr:colOff>
      <xdr:row>17</xdr:row>
      <xdr:rowOff>12543</xdr:rowOff>
    </xdr:from>
    <xdr:to>
      <xdr:col>3</xdr:col>
      <xdr:colOff>19660</xdr:colOff>
      <xdr:row>36</xdr:row>
      <xdr:rowOff>156882</xdr:rowOff>
    </xdr:to>
    <mc:AlternateContent xmlns:mc="http://schemas.openxmlformats.org/markup-compatibility/2006" xmlns:a14="http://schemas.microsoft.com/office/drawing/2010/main">
      <mc:Choice Requires="a14">
        <xdr:graphicFrame macro="">
          <xdr:nvGraphicFramePr>
            <xdr:cNvPr id="39" name="Sales Person 1">
              <a:extLst>
                <a:ext uri="{FF2B5EF4-FFF2-40B4-BE49-F238E27FC236}">
                  <a16:creationId xmlns:a16="http://schemas.microsoft.com/office/drawing/2014/main" id="{1C198F75-4624-481C-A907-1E64E0F37BE4}"/>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20944" y="3180641"/>
              <a:ext cx="1831243" cy="3685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427846</xdr:colOff>
      <xdr:row>11</xdr:row>
      <xdr:rowOff>104636</xdr:rowOff>
    </xdr:from>
    <xdr:to>
      <xdr:col>10</xdr:col>
      <xdr:colOff>438547</xdr:colOff>
      <xdr:row>22</xdr:row>
      <xdr:rowOff>126892</xdr:rowOff>
    </xdr:to>
    <xdr:graphicFrame macro="">
      <xdr:nvGraphicFramePr>
        <xdr:cNvPr id="41" name="Chart 40">
          <a:extLst>
            <a:ext uri="{FF2B5EF4-FFF2-40B4-BE49-F238E27FC236}">
              <a16:creationId xmlns:a16="http://schemas.microsoft.com/office/drawing/2014/main" id="{024018E9-8C54-46B5-A5A3-D4A5CC617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203181</xdr:colOff>
      <xdr:row>8</xdr:row>
      <xdr:rowOff>153629</xdr:rowOff>
    </xdr:from>
    <xdr:to>
      <xdr:col>19</xdr:col>
      <xdr:colOff>573549</xdr:colOff>
      <xdr:row>22</xdr:row>
      <xdr:rowOff>112661</xdr:rowOff>
    </xdr:to>
    <xdr:sp macro="" textlink="">
      <xdr:nvSpPr>
        <xdr:cNvPr id="43" name="Rectangle: Rounded Corners 42">
          <a:extLst>
            <a:ext uri="{FF2B5EF4-FFF2-40B4-BE49-F238E27FC236}">
              <a16:creationId xmlns:a16="http://schemas.microsoft.com/office/drawing/2014/main" id="{BF061836-1ECC-5FF6-9723-571992762026}"/>
            </a:ext>
          </a:extLst>
        </xdr:cNvPr>
        <xdr:cNvSpPr/>
      </xdr:nvSpPr>
      <xdr:spPr>
        <a:xfrm>
          <a:off x="6962858" y="1710403"/>
          <a:ext cx="5286497" cy="2683387"/>
        </a:xfrm>
        <a:prstGeom prst="roundRect">
          <a:avLst>
            <a:gd name="adj" fmla="val 17905"/>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lumMod val="50000"/>
                </a:schemeClr>
              </a:solidFill>
              <a:latin typeface="Apstos Narrow"/>
            </a:rPr>
            <a:t>Total Sales by Region</a:t>
          </a:r>
          <a:endParaRPr lang="en-IN" sz="1200" b="1">
            <a:solidFill>
              <a:schemeClr val="accent1">
                <a:lumMod val="50000"/>
              </a:schemeClr>
            </a:solidFill>
            <a:latin typeface="Apstos Narrow"/>
          </a:endParaRPr>
        </a:p>
      </xdr:txBody>
    </xdr:sp>
    <xdr:clientData/>
  </xdr:twoCellAnchor>
  <xdr:twoCellAnchor>
    <xdr:from>
      <xdr:col>3</xdr:col>
      <xdr:colOff>74773</xdr:colOff>
      <xdr:row>21</xdr:row>
      <xdr:rowOff>184355</xdr:rowOff>
    </xdr:from>
    <xdr:to>
      <xdr:col>11</xdr:col>
      <xdr:colOff>233014</xdr:colOff>
      <xdr:row>36</xdr:row>
      <xdr:rowOff>71693</xdr:rowOff>
    </xdr:to>
    <xdr:sp macro="" textlink="">
      <xdr:nvSpPr>
        <xdr:cNvPr id="45" name="Rectangle: Rounded Corners 44">
          <a:extLst>
            <a:ext uri="{FF2B5EF4-FFF2-40B4-BE49-F238E27FC236}">
              <a16:creationId xmlns:a16="http://schemas.microsoft.com/office/drawing/2014/main" id="{48002B11-F250-4818-A57B-9C1BB0E5851A}"/>
            </a:ext>
          </a:extLst>
        </xdr:cNvPr>
        <xdr:cNvSpPr/>
      </xdr:nvSpPr>
      <xdr:spPr>
        <a:xfrm>
          <a:off x="1918321" y="4270887"/>
          <a:ext cx="5074370" cy="2806290"/>
        </a:xfrm>
        <a:prstGeom prst="roundRect">
          <a:avLst>
            <a:gd name="adj" fmla="val 991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lumMod val="50000"/>
                </a:schemeClr>
              </a:solidFill>
              <a:latin typeface="Apstos Narrow"/>
            </a:rPr>
            <a:t>Total Sales by Product</a:t>
          </a:r>
          <a:endParaRPr lang="en-IN" sz="1200" b="1">
            <a:solidFill>
              <a:schemeClr val="accent1">
                <a:lumMod val="50000"/>
              </a:schemeClr>
            </a:solidFill>
            <a:latin typeface="Apstos Narrow"/>
          </a:endParaRPr>
        </a:p>
      </xdr:txBody>
    </xdr:sp>
    <xdr:clientData/>
  </xdr:twoCellAnchor>
  <xdr:twoCellAnchor>
    <xdr:from>
      <xdr:col>11</xdr:col>
      <xdr:colOff>238870</xdr:colOff>
      <xdr:row>22</xdr:row>
      <xdr:rowOff>122902</xdr:rowOff>
    </xdr:from>
    <xdr:to>
      <xdr:col>19</xdr:col>
      <xdr:colOff>606655</xdr:colOff>
      <xdr:row>36</xdr:row>
      <xdr:rowOff>153628</xdr:rowOff>
    </xdr:to>
    <xdr:sp macro="" textlink="">
      <xdr:nvSpPr>
        <xdr:cNvPr id="46" name="Rectangle: Rounded Corners 45">
          <a:extLst>
            <a:ext uri="{FF2B5EF4-FFF2-40B4-BE49-F238E27FC236}">
              <a16:creationId xmlns:a16="http://schemas.microsoft.com/office/drawing/2014/main" id="{109C9CF3-1164-412D-9A59-8944750686E5}"/>
            </a:ext>
          </a:extLst>
        </xdr:cNvPr>
        <xdr:cNvSpPr/>
      </xdr:nvSpPr>
      <xdr:spPr>
        <a:xfrm>
          <a:off x="6998547" y="4404031"/>
          <a:ext cx="5283914" cy="2755081"/>
        </a:xfrm>
        <a:prstGeom prst="roundRect">
          <a:avLst>
            <a:gd name="adj" fmla="val 14378"/>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lumMod val="50000"/>
                </a:schemeClr>
              </a:solidFill>
              <a:latin typeface="Apstos Narrow"/>
            </a:rPr>
            <a:t>Total Sales by Sales Person</a:t>
          </a:r>
          <a:endParaRPr lang="en-IN" sz="1200" b="1">
            <a:solidFill>
              <a:schemeClr val="accent1">
                <a:lumMod val="50000"/>
              </a:schemeClr>
            </a:solidFill>
            <a:latin typeface="Apstos Narrow"/>
          </a:endParaRPr>
        </a:p>
      </xdr:txBody>
    </xdr:sp>
    <xdr:clientData/>
  </xdr:twoCellAnchor>
  <xdr:twoCellAnchor>
    <xdr:from>
      <xdr:col>11</xdr:col>
      <xdr:colOff>230489</xdr:colOff>
      <xdr:row>10</xdr:row>
      <xdr:rowOff>115733</xdr:rowOff>
    </xdr:from>
    <xdr:to>
      <xdr:col>19</xdr:col>
      <xdr:colOff>298524</xdr:colOff>
      <xdr:row>22</xdr:row>
      <xdr:rowOff>22697</xdr:rowOff>
    </xdr:to>
    <xdr:graphicFrame macro="">
      <xdr:nvGraphicFramePr>
        <xdr:cNvPr id="47" name="Chart 46">
          <a:extLst>
            <a:ext uri="{FF2B5EF4-FFF2-40B4-BE49-F238E27FC236}">
              <a16:creationId xmlns:a16="http://schemas.microsoft.com/office/drawing/2014/main" id="{CC635744-267A-4694-831A-5529BC8DA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27215</xdr:colOff>
      <xdr:row>24</xdr:row>
      <xdr:rowOff>40674</xdr:rowOff>
    </xdr:from>
    <xdr:to>
      <xdr:col>11</xdr:col>
      <xdr:colOff>54428</xdr:colOff>
      <xdr:row>36</xdr:row>
      <xdr:rowOff>13461</xdr:rowOff>
    </xdr:to>
    <xdr:graphicFrame macro="">
      <xdr:nvGraphicFramePr>
        <xdr:cNvPr id="48" name="Chart 47">
          <a:extLst>
            <a:ext uri="{FF2B5EF4-FFF2-40B4-BE49-F238E27FC236}">
              <a16:creationId xmlns:a16="http://schemas.microsoft.com/office/drawing/2014/main" id="{78E8A0B6-A8EA-4960-A594-6996F7DEC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392392</xdr:colOff>
      <xdr:row>25</xdr:row>
      <xdr:rowOff>99680</xdr:rowOff>
    </xdr:from>
    <xdr:to>
      <xdr:col>20</xdr:col>
      <xdr:colOff>68985</xdr:colOff>
      <xdr:row>38</xdr:row>
      <xdr:rowOff>55377</xdr:rowOff>
    </xdr:to>
    <xdr:graphicFrame macro="">
      <xdr:nvGraphicFramePr>
        <xdr:cNvPr id="49" name="Chart 48">
          <a:extLst>
            <a:ext uri="{FF2B5EF4-FFF2-40B4-BE49-F238E27FC236}">
              <a16:creationId xmlns:a16="http://schemas.microsoft.com/office/drawing/2014/main" id="{282EBA5D-455A-4CA0-B4A9-F6EEB37E4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326956</xdr:colOff>
      <xdr:row>12</xdr:row>
      <xdr:rowOff>50939</xdr:rowOff>
    </xdr:from>
    <xdr:to>
      <xdr:col>33</xdr:col>
      <xdr:colOff>157369</xdr:colOff>
      <xdr:row>27</xdr:row>
      <xdr:rowOff>65224</xdr:rowOff>
    </xdr:to>
    <xdr:graphicFrame macro="">
      <xdr:nvGraphicFramePr>
        <xdr:cNvPr id="4" name="Chart 3">
          <a:extLst>
            <a:ext uri="{FF2B5EF4-FFF2-40B4-BE49-F238E27FC236}">
              <a16:creationId xmlns:a16="http://schemas.microsoft.com/office/drawing/2014/main" id="{7159B064-877F-2564-BCAA-5EFE5B48A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12</xdr:row>
      <xdr:rowOff>166687</xdr:rowOff>
    </xdr:from>
    <xdr:to>
      <xdr:col>4</xdr:col>
      <xdr:colOff>1114425</xdr:colOff>
      <xdr:row>27</xdr:row>
      <xdr:rowOff>52387</xdr:rowOff>
    </xdr:to>
    <xdr:graphicFrame macro="">
      <xdr:nvGraphicFramePr>
        <xdr:cNvPr id="2" name="Chart 1">
          <a:extLst>
            <a:ext uri="{FF2B5EF4-FFF2-40B4-BE49-F238E27FC236}">
              <a16:creationId xmlns:a16="http://schemas.microsoft.com/office/drawing/2014/main" id="{03E26C69-7AE0-303E-6CEC-90C0542A11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392801</xdr:colOff>
      <xdr:row>16</xdr:row>
      <xdr:rowOff>41206</xdr:rowOff>
    </xdr:from>
    <xdr:to>
      <xdr:col>12</xdr:col>
      <xdr:colOff>34578</xdr:colOff>
      <xdr:row>30</xdr:row>
      <xdr:rowOff>117406</xdr:rowOff>
    </xdr:to>
    <xdr:graphicFrame macro="">
      <xdr:nvGraphicFramePr>
        <xdr:cNvPr id="3" name="Chart 2">
          <a:extLst>
            <a:ext uri="{FF2B5EF4-FFF2-40B4-BE49-F238E27FC236}">
              <a16:creationId xmlns:a16="http://schemas.microsoft.com/office/drawing/2014/main" id="{CD4D3236-4574-B65C-94E6-4706FC685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902191</xdr:colOff>
      <xdr:row>8</xdr:row>
      <xdr:rowOff>3374</xdr:rowOff>
    </xdr:from>
    <xdr:to>
      <xdr:col>18</xdr:col>
      <xdr:colOff>256511</xdr:colOff>
      <xdr:row>22</xdr:row>
      <xdr:rowOff>75434</xdr:rowOff>
    </xdr:to>
    <xdr:graphicFrame macro="">
      <xdr:nvGraphicFramePr>
        <xdr:cNvPr id="5" name="Chart 4">
          <a:extLst>
            <a:ext uri="{FF2B5EF4-FFF2-40B4-BE49-F238E27FC236}">
              <a16:creationId xmlns:a16="http://schemas.microsoft.com/office/drawing/2014/main" id="{7FFB1CB4-6A8A-B638-4A78-2806F1280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342900</xdr:colOff>
      <xdr:row>2</xdr:row>
      <xdr:rowOff>47625</xdr:rowOff>
    </xdr:from>
    <xdr:to>
      <xdr:col>7</xdr:col>
      <xdr:colOff>260438</xdr:colOff>
      <xdr:row>15</xdr:row>
      <xdr:rowOff>95250</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50F5EA37-B129-0286-6BCD-F5B41B40A7B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6988249" y="446346"/>
              <a:ext cx="1841869" cy="2639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923925</xdr:colOff>
      <xdr:row>2</xdr:row>
      <xdr:rowOff>161926</xdr:rowOff>
    </xdr:from>
    <xdr:to>
      <xdr:col>3</xdr:col>
      <xdr:colOff>495701</xdr:colOff>
      <xdr:row>6</xdr:row>
      <xdr:rowOff>123825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06C1355-6F1B-DD7C-34E4-BC95018018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97297" y="560647"/>
              <a:ext cx="1848514" cy="759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2</xdr:row>
      <xdr:rowOff>114300</xdr:rowOff>
    </xdr:from>
    <xdr:to>
      <xdr:col>10</xdr:col>
      <xdr:colOff>104776</xdr:colOff>
      <xdr:row>15</xdr:row>
      <xdr:rowOff>161925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34813BB3-D1F5-BAAD-A2D3-2C3E7A21E53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316240" y="513021"/>
              <a:ext cx="1838768" cy="2639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IGA T" refreshedDate="46022.864417129633" createdVersion="8" refreshedVersion="8" minRefreshableVersion="3" recordCount="50" xr:uid="{B3471111-C85A-4CF6-89A3-5E58F9FD153E}">
  <cacheSource type="worksheet">
    <worksheetSource name="Table1"/>
  </cacheSource>
  <cacheFields count="11">
    <cacheField name="Date" numFmtId="14">
      <sharedItems containsSemiMixedTypes="0" containsNonDate="0" containsDate="1" containsString="0" minDate="2024-01-05T00:00:00" maxDate="2026-12-29T00:00:00"/>
    </cacheField>
    <cacheField name="Sales Person" numFmtId="0">
      <sharedItems count="12">
        <s v="Harry Potter"/>
        <s v="Eleven"/>
        <s v="Tony Stark"/>
        <s v="Hermione Granger"/>
        <s v="Steve Rogers"/>
        <s v="Dustin Henderson"/>
        <s v="Natasha Romanoff"/>
        <s v="Thor"/>
        <s v="Ron Weasley"/>
        <s v="Bruce Banner"/>
        <s v="Peter Parker"/>
        <s v="Nancy Wheeler"/>
      </sharedItems>
    </cacheField>
    <cacheField name="Region" numFmtId="0">
      <sharedItems count="4">
        <s v="North"/>
        <s v="South"/>
        <s v="East"/>
        <s v="West"/>
      </sharedItems>
    </cacheField>
    <cacheField name="Product" numFmtId="0">
      <sharedItems count="4">
        <s v="Laptop"/>
        <s v="Mobile"/>
        <s v="Tablet"/>
        <s v="Printer"/>
      </sharedItems>
    </cacheField>
    <cacheField name="Units Sold" numFmtId="0">
      <sharedItems containsSemiMixedTypes="0" containsString="0" containsNumber="1" containsInteger="1" minValue="55" maxValue="150"/>
    </cacheField>
    <cacheField name="Unit Price" numFmtId="3">
      <sharedItems containsSemiMixedTypes="0" containsString="0" containsNumber="1" containsInteger="1" minValue="15000" maxValue="60000"/>
    </cacheField>
    <cacheField name="Cost of Goods" numFmtId="3">
      <sharedItems containsSemiMixedTypes="0" containsString="0" containsNumber="1" containsInteger="1" minValue="10000" maxValue="40000"/>
    </cacheField>
    <cacheField name="Total Sales" numFmtId="3">
      <sharedItems containsSemiMixedTypes="0" containsString="0" containsNumber="1" containsInteger="1" minValue="825000" maxValue="6000000"/>
    </cacheField>
    <cacheField name="Profit" numFmtId="164">
      <sharedItems containsSemiMixedTypes="0" containsString="0" containsNumber="1" containsInteger="1" minValue="275000" maxValue="1940000"/>
    </cacheField>
    <cacheField name="Column1" numFmtId="0">
      <sharedItems containsBlank="1"/>
    </cacheField>
    <cacheField name="Grand Total" numFmtId="0">
      <sharedItems containsBlank="1" containsMixedTypes="1" containsNumber="1" containsInteger="1" minValue="4741" maxValue="198450000"/>
    </cacheField>
  </cacheFields>
  <extLst>
    <ext xmlns:x14="http://schemas.microsoft.com/office/spreadsheetml/2009/9/main" uri="{725AE2AE-9491-48be-B2B4-4EB974FC3084}">
      <x14:pivotCacheDefinition pivotCacheId="1558552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4-01-05T00:00:00"/>
    <x v="0"/>
    <x v="0"/>
    <x v="0"/>
    <n v="84"/>
    <n v="60000"/>
    <n v="40000"/>
    <n v="5040000"/>
    <n v="1680000"/>
    <s v=" total sales - (cost of goods *unit sold)"/>
    <n v="198450000"/>
  </r>
  <r>
    <d v="2025-02-10T00:00:00"/>
    <x v="1"/>
    <x v="1"/>
    <x v="1"/>
    <n v="128"/>
    <n v="40000"/>
    <n v="30000"/>
    <n v="5120000"/>
    <n v="1280000"/>
    <m/>
    <s v="Unit Sold"/>
  </r>
  <r>
    <d v="2026-03-15T00:00:00"/>
    <x v="2"/>
    <x v="2"/>
    <x v="2"/>
    <n v="96"/>
    <n v="35000"/>
    <n v="25000"/>
    <n v="3360000"/>
    <n v="960000"/>
    <m/>
    <n v="4741"/>
  </r>
  <r>
    <d v="2024-04-20T00:00:00"/>
    <x v="3"/>
    <x v="3"/>
    <x v="0"/>
    <n v="72"/>
    <n v="60000"/>
    <n v="40000"/>
    <n v="4320000"/>
    <n v="1440000"/>
    <m/>
    <s v="Total Profit"/>
  </r>
  <r>
    <d v="2025-05-12T00:00:00"/>
    <x v="4"/>
    <x v="0"/>
    <x v="3"/>
    <n v="60"/>
    <n v="15000"/>
    <n v="10000"/>
    <n v="900000"/>
    <n v="300000"/>
    <m/>
    <n v="57795000"/>
  </r>
  <r>
    <d v="2026-06-18T00:00:00"/>
    <x v="5"/>
    <x v="1"/>
    <x v="1"/>
    <n v="110"/>
    <n v="40000"/>
    <n v="30000"/>
    <n v="4400000"/>
    <n v="1100000"/>
    <m/>
    <s v="Average Sales"/>
  </r>
  <r>
    <d v="2024-07-09T00:00:00"/>
    <x v="0"/>
    <x v="2"/>
    <x v="0"/>
    <n v="90"/>
    <n v="60000"/>
    <n v="40000"/>
    <n v="5400000"/>
    <n v="1800000"/>
    <m/>
    <n v="3969000"/>
  </r>
  <r>
    <d v="2025-08-22T00:00:00"/>
    <x v="6"/>
    <x v="3"/>
    <x v="2"/>
    <n v="85"/>
    <n v="35000"/>
    <n v="25000"/>
    <n v="2975000"/>
    <n v="850000"/>
    <m/>
    <m/>
  </r>
  <r>
    <d v="2026-09-14T00:00:00"/>
    <x v="1"/>
    <x v="0"/>
    <x v="1"/>
    <n v="140"/>
    <n v="40000"/>
    <n v="30000"/>
    <n v="5600000"/>
    <n v="1400000"/>
    <m/>
    <m/>
  </r>
  <r>
    <d v="2024-10-03T00:00:00"/>
    <x v="7"/>
    <x v="1"/>
    <x v="0"/>
    <n v="65"/>
    <n v="60000"/>
    <n v="40000"/>
    <n v="3900000"/>
    <n v="1300000"/>
    <m/>
    <m/>
  </r>
  <r>
    <d v="2025-11-11T00:00:00"/>
    <x v="8"/>
    <x v="2"/>
    <x v="3"/>
    <n v="55"/>
    <n v="15000"/>
    <n v="10000"/>
    <n v="825000"/>
    <n v="275000"/>
    <m/>
    <m/>
  </r>
  <r>
    <d v="2026-12-05T00:00:00"/>
    <x v="9"/>
    <x v="3"/>
    <x v="1"/>
    <n v="120"/>
    <n v="40000"/>
    <n v="30000"/>
    <n v="4800000"/>
    <n v="1200000"/>
    <m/>
    <m/>
  </r>
  <r>
    <d v="2024-01-19T00:00:00"/>
    <x v="3"/>
    <x v="0"/>
    <x v="2"/>
    <n v="78"/>
    <n v="35000"/>
    <n v="25000"/>
    <n v="2730000"/>
    <n v="780000"/>
    <m/>
    <m/>
  </r>
  <r>
    <d v="2025-02-23T00:00:00"/>
    <x v="0"/>
    <x v="1"/>
    <x v="0"/>
    <n v="88"/>
    <n v="60000"/>
    <n v="40000"/>
    <n v="5280000"/>
    <n v="1760000"/>
    <m/>
    <m/>
  </r>
  <r>
    <d v="2026-03-08T00:00:00"/>
    <x v="10"/>
    <x v="2"/>
    <x v="1"/>
    <n v="134"/>
    <n v="40000"/>
    <n v="30000"/>
    <n v="5360000"/>
    <n v="1340000"/>
    <m/>
    <m/>
  </r>
  <r>
    <d v="2024-04-27T00:00:00"/>
    <x v="5"/>
    <x v="3"/>
    <x v="3"/>
    <n v="62"/>
    <n v="15000"/>
    <n v="10000"/>
    <n v="930000"/>
    <n v="310000"/>
    <m/>
    <m/>
  </r>
  <r>
    <d v="2025-05-30T00:00:00"/>
    <x v="2"/>
    <x v="0"/>
    <x v="0"/>
    <n v="74"/>
    <n v="60000"/>
    <n v="40000"/>
    <n v="4440000"/>
    <n v="1480000"/>
    <m/>
    <m/>
  </r>
  <r>
    <d v="2026-06-11T00:00:00"/>
    <x v="1"/>
    <x v="1"/>
    <x v="2"/>
    <n v="91"/>
    <n v="35000"/>
    <n v="25000"/>
    <n v="3185000"/>
    <n v="910000"/>
    <m/>
    <m/>
  </r>
  <r>
    <d v="2024-07-16T00:00:00"/>
    <x v="4"/>
    <x v="2"/>
    <x v="1"/>
    <n v="145"/>
    <n v="40000"/>
    <n v="30000"/>
    <n v="5800000"/>
    <n v="1450000"/>
    <m/>
    <m/>
  </r>
  <r>
    <d v="2025-08-04T00:00:00"/>
    <x v="11"/>
    <x v="3"/>
    <x v="0"/>
    <n v="69"/>
    <n v="60000"/>
    <n v="40000"/>
    <n v="4140000"/>
    <n v="1380000"/>
    <m/>
    <m/>
  </r>
  <r>
    <d v="2026-09-19T00:00:00"/>
    <x v="8"/>
    <x v="0"/>
    <x v="3"/>
    <n v="58"/>
    <n v="15000"/>
    <n v="10000"/>
    <n v="870000"/>
    <n v="290000"/>
    <m/>
    <m/>
  </r>
  <r>
    <d v="2024-10-25T00:00:00"/>
    <x v="10"/>
    <x v="1"/>
    <x v="1"/>
    <n v="132"/>
    <n v="40000"/>
    <n v="30000"/>
    <n v="5280000"/>
    <n v="1320000"/>
    <m/>
    <m/>
  </r>
  <r>
    <d v="2025-11-14T00:00:00"/>
    <x v="7"/>
    <x v="2"/>
    <x v="0"/>
    <n v="95"/>
    <n v="60000"/>
    <n v="40000"/>
    <n v="5700000"/>
    <n v="1900000"/>
    <m/>
    <m/>
  </r>
  <r>
    <d v="2026-12-09T00:00:00"/>
    <x v="3"/>
    <x v="3"/>
    <x v="2"/>
    <n v="80"/>
    <n v="35000"/>
    <n v="25000"/>
    <n v="2800000"/>
    <n v="800000"/>
    <m/>
    <m/>
  </r>
  <r>
    <d v="2024-01-28T00:00:00"/>
    <x v="1"/>
    <x v="0"/>
    <x v="1"/>
    <n v="150"/>
    <n v="40000"/>
    <n v="30000"/>
    <n v="6000000"/>
    <n v="1500000"/>
    <m/>
    <m/>
  </r>
  <r>
    <d v="2025-02-17T00:00:00"/>
    <x v="5"/>
    <x v="1"/>
    <x v="0"/>
    <n v="77"/>
    <n v="60000"/>
    <n v="40000"/>
    <n v="4620000"/>
    <n v="1540000"/>
    <m/>
    <m/>
  </r>
  <r>
    <d v="2026-03-26T00:00:00"/>
    <x v="2"/>
    <x v="2"/>
    <x v="3"/>
    <n v="63"/>
    <n v="15000"/>
    <n v="10000"/>
    <n v="945000"/>
    <n v="315000"/>
    <m/>
    <m/>
  </r>
  <r>
    <d v="2024-04-08T00:00:00"/>
    <x v="6"/>
    <x v="3"/>
    <x v="1"/>
    <n v="118"/>
    <n v="40000"/>
    <n v="30000"/>
    <n v="4720000"/>
    <n v="1180000"/>
    <m/>
    <m/>
  </r>
  <r>
    <d v="2025-05-21T00:00:00"/>
    <x v="0"/>
    <x v="0"/>
    <x v="2"/>
    <n v="86"/>
    <n v="35000"/>
    <n v="25000"/>
    <n v="3010000"/>
    <n v="860000"/>
    <m/>
    <m/>
  </r>
  <r>
    <d v="2026-06-29T00:00:00"/>
    <x v="4"/>
    <x v="1"/>
    <x v="0"/>
    <n v="92"/>
    <n v="60000"/>
    <n v="40000"/>
    <n v="5520000"/>
    <n v="1840000"/>
    <m/>
    <m/>
  </r>
  <r>
    <d v="2024-07-02T00:00:00"/>
    <x v="10"/>
    <x v="2"/>
    <x v="1"/>
    <n v="139"/>
    <n v="40000"/>
    <n v="30000"/>
    <n v="5560000"/>
    <n v="1390000"/>
    <m/>
    <m/>
  </r>
  <r>
    <d v="2025-08-18T00:00:00"/>
    <x v="8"/>
    <x v="3"/>
    <x v="3"/>
    <n v="61"/>
    <n v="15000"/>
    <n v="10000"/>
    <n v="915000"/>
    <n v="305000"/>
    <m/>
    <m/>
  </r>
  <r>
    <d v="2026-09-07T00:00:00"/>
    <x v="7"/>
    <x v="0"/>
    <x v="0"/>
    <n v="83"/>
    <n v="60000"/>
    <n v="40000"/>
    <n v="4980000"/>
    <n v="1660000"/>
    <m/>
    <m/>
  </r>
  <r>
    <d v="2024-10-13T00:00:00"/>
    <x v="1"/>
    <x v="1"/>
    <x v="2"/>
    <n v="89"/>
    <n v="35000"/>
    <n v="25000"/>
    <n v="3115000"/>
    <n v="890000"/>
    <m/>
    <m/>
  </r>
  <r>
    <d v="2025-11-27T00:00:00"/>
    <x v="9"/>
    <x v="2"/>
    <x v="1"/>
    <n v="143"/>
    <n v="40000"/>
    <n v="30000"/>
    <n v="5720000"/>
    <n v="1430000"/>
    <m/>
    <m/>
  </r>
  <r>
    <d v="2026-12-16T00:00:00"/>
    <x v="11"/>
    <x v="3"/>
    <x v="0"/>
    <n v="71"/>
    <n v="60000"/>
    <n v="40000"/>
    <n v="4260000"/>
    <n v="1420000"/>
    <m/>
    <m/>
  </r>
  <r>
    <d v="2024-01-10T00:00:00"/>
    <x v="3"/>
    <x v="0"/>
    <x v="3"/>
    <n v="59"/>
    <n v="15000"/>
    <n v="10000"/>
    <n v="885000"/>
    <n v="295000"/>
    <m/>
    <m/>
  </r>
  <r>
    <d v="2025-02-06T00:00:00"/>
    <x v="2"/>
    <x v="1"/>
    <x v="1"/>
    <n v="125"/>
    <n v="40000"/>
    <n v="30000"/>
    <n v="5000000"/>
    <n v="1250000"/>
    <m/>
    <m/>
  </r>
  <r>
    <d v="2026-03-22T00:00:00"/>
    <x v="0"/>
    <x v="2"/>
    <x v="0"/>
    <n v="97"/>
    <n v="60000"/>
    <n v="40000"/>
    <n v="5820000"/>
    <n v="1940000"/>
    <m/>
    <m/>
  </r>
  <r>
    <d v="2024-04-17T00:00:00"/>
    <x v="5"/>
    <x v="3"/>
    <x v="2"/>
    <n v="82"/>
    <n v="35000"/>
    <n v="25000"/>
    <n v="2870000"/>
    <n v="820000"/>
    <m/>
    <m/>
  </r>
  <r>
    <d v="2025-05-09T00:00:00"/>
    <x v="4"/>
    <x v="0"/>
    <x v="1"/>
    <n v="148"/>
    <n v="40000"/>
    <n v="30000"/>
    <n v="5920000"/>
    <n v="1480000"/>
    <m/>
    <m/>
  </r>
  <r>
    <d v="2026-06-04T00:00:00"/>
    <x v="8"/>
    <x v="1"/>
    <x v="0"/>
    <n v="76"/>
    <n v="60000"/>
    <n v="40000"/>
    <n v="4560000"/>
    <n v="1520000"/>
    <m/>
    <m/>
  </r>
  <r>
    <d v="2024-07-27T00:00:00"/>
    <x v="10"/>
    <x v="2"/>
    <x v="3"/>
    <n v="64"/>
    <n v="15000"/>
    <n v="10000"/>
    <n v="960000"/>
    <n v="320000"/>
    <m/>
    <m/>
  </r>
  <r>
    <d v="2025-08-12T00:00:00"/>
    <x v="7"/>
    <x v="3"/>
    <x v="1"/>
    <n v="121"/>
    <n v="40000"/>
    <n v="30000"/>
    <n v="4840000"/>
    <n v="1210000"/>
    <m/>
    <m/>
  </r>
  <r>
    <d v="2026-09-30T00:00:00"/>
    <x v="3"/>
    <x v="0"/>
    <x v="2"/>
    <n v="88"/>
    <n v="35000"/>
    <n v="25000"/>
    <n v="3080000"/>
    <n v="880000"/>
    <m/>
    <m/>
  </r>
  <r>
    <d v="2024-10-21T00:00:00"/>
    <x v="1"/>
    <x v="1"/>
    <x v="0"/>
    <n v="94"/>
    <n v="60000"/>
    <n v="40000"/>
    <n v="5640000"/>
    <n v="1880000"/>
    <m/>
    <m/>
  </r>
  <r>
    <d v="2025-11-03T00:00:00"/>
    <x v="2"/>
    <x v="2"/>
    <x v="1"/>
    <n v="136"/>
    <n v="40000"/>
    <n v="30000"/>
    <n v="5440000"/>
    <n v="1360000"/>
    <m/>
    <m/>
  </r>
  <r>
    <d v="2026-12-28T00:00:00"/>
    <x v="5"/>
    <x v="3"/>
    <x v="3"/>
    <n v="57"/>
    <n v="15000"/>
    <n v="10000"/>
    <n v="855000"/>
    <n v="285000"/>
    <m/>
    <m/>
  </r>
  <r>
    <d v="2024-01-14T00:00:00"/>
    <x v="4"/>
    <x v="0"/>
    <x v="0"/>
    <n v="81"/>
    <n v="60000"/>
    <n v="40000"/>
    <n v="4860000"/>
    <n v="1620000"/>
    <m/>
    <m/>
  </r>
  <r>
    <d v="2025-02-24T00:00:00"/>
    <x v="0"/>
    <x v="1"/>
    <x v="1"/>
    <n v="130"/>
    <n v="40000"/>
    <n v="30000"/>
    <n v="5200000"/>
    <n v="130000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CCBF65-0C06-4A72-B8CB-0F854B9E6B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1">
    <pivotField numFmtId="14" showAll="0"/>
    <pivotField axis="axisRow" showAll="0">
      <items count="13">
        <item x="9"/>
        <item x="5"/>
        <item x="1"/>
        <item x="0"/>
        <item x="3"/>
        <item x="11"/>
        <item x="6"/>
        <item x="10"/>
        <item x="8"/>
        <item x="4"/>
        <item x="7"/>
        <item x="2"/>
        <item t="default"/>
      </items>
    </pivotField>
    <pivotField showAll="0">
      <items count="5">
        <item x="2"/>
        <item x="0"/>
        <item x="1"/>
        <item x="3"/>
        <item t="default"/>
      </items>
    </pivotField>
    <pivotField showAll="0">
      <items count="5">
        <item x="0"/>
        <item x="1"/>
        <item x="3"/>
        <item x="2"/>
        <item t="default"/>
      </items>
    </pivotField>
    <pivotField showAll="0"/>
    <pivotField numFmtId="3" showAll="0"/>
    <pivotField numFmtId="3" showAll="0"/>
    <pivotField dataField="1" numFmtId="3" showAll="0"/>
    <pivotField numFmtId="164"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Total Sales" fld="7" baseField="0" baseItem="0"/>
  </dataFields>
  <formats count="1">
    <format dxfId="21">
      <pivotArea collapsedLevelsAreSubtotals="1" fieldPosition="0">
        <references count="1">
          <reference field="1" count="0"/>
        </references>
      </pivotArea>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2"/>
          </reference>
        </references>
      </pivotArea>
    </chartFormat>
    <chartFormat chart="3" format="2">
      <pivotArea type="data" outline="0" fieldPosition="0">
        <references count="2">
          <reference field="4294967294" count="1" selected="0">
            <x v="0"/>
          </reference>
          <reference field="1" count="1" selected="0">
            <x v="3"/>
          </reference>
        </references>
      </pivotArea>
    </chartFormat>
    <chartFormat chart="3" format="3">
      <pivotArea type="data" outline="0" fieldPosition="0">
        <references count="2">
          <reference field="4294967294" count="1" selected="0">
            <x v="0"/>
          </reference>
          <reference field="1" count="1" selected="0">
            <x v="5"/>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 chart="3" format="7">
      <pivotArea type="data" outline="0" fieldPosition="0">
        <references count="2">
          <reference field="4294967294" count="1" selected="0">
            <x v="0"/>
          </reference>
          <reference field="1" count="1" selected="0">
            <x v="9"/>
          </reference>
        </references>
      </pivotArea>
    </chartFormat>
    <chartFormat chart="3" format="8">
      <pivotArea type="data" outline="0" fieldPosition="0">
        <references count="2">
          <reference field="4294967294" count="1" selected="0">
            <x v="0"/>
          </reference>
          <reference field="1" count="1" selected="0">
            <x v="7"/>
          </reference>
        </references>
      </pivotArea>
    </chartFormat>
    <chartFormat chart="3" format="9">
      <pivotArea type="data" outline="0" fieldPosition="0">
        <references count="2">
          <reference field="4294967294" count="1" selected="0">
            <x v="0"/>
          </reference>
          <reference field="1" count="1" selected="0">
            <x v="10"/>
          </reference>
        </references>
      </pivotArea>
    </chartFormat>
    <chartFormat chart="3" format="10">
      <pivotArea type="data" outline="0" fieldPosition="0">
        <references count="2">
          <reference field="4294967294" count="1" selected="0">
            <x v="0"/>
          </reference>
          <reference field="1" count="1" selected="0">
            <x v="11"/>
          </reference>
        </references>
      </pivotArea>
    </chartFormat>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C0F6E-90FF-49DA-9CE3-D6D60B4447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11">
    <pivotField numFmtId="14" showAll="0"/>
    <pivotField showAll="0">
      <items count="13">
        <item x="9"/>
        <item x="5"/>
        <item x="1"/>
        <item x="0"/>
        <item x="3"/>
        <item x="11"/>
        <item x="6"/>
        <item x="10"/>
        <item x="8"/>
        <item x="4"/>
        <item x="7"/>
        <item x="2"/>
        <item t="default"/>
      </items>
    </pivotField>
    <pivotField showAll="0">
      <items count="5">
        <item x="2"/>
        <item x="0"/>
        <item x="1"/>
        <item x="3"/>
        <item t="default"/>
      </items>
    </pivotField>
    <pivotField axis="axisRow" showAll="0">
      <items count="5">
        <item x="0"/>
        <item x="1"/>
        <item x="3"/>
        <item x="2"/>
        <item t="default"/>
      </items>
    </pivotField>
    <pivotField showAll="0"/>
    <pivotField numFmtId="3" showAll="0"/>
    <pivotField numFmtId="3" showAll="0"/>
    <pivotField dataField="1" numFmtId="3" showAll="0"/>
    <pivotField numFmtId="164" showAll="0"/>
    <pivotField showAll="0"/>
    <pivotField showAll="0"/>
  </pivotFields>
  <rowFields count="1">
    <field x="3"/>
  </rowFields>
  <rowItems count="5">
    <i>
      <x/>
    </i>
    <i>
      <x v="1"/>
    </i>
    <i>
      <x v="2"/>
    </i>
    <i>
      <x v="3"/>
    </i>
    <i t="grand">
      <x/>
    </i>
  </rowItems>
  <colItems count="1">
    <i/>
  </colItems>
  <dataFields count="1">
    <dataField name="Sum of Total Sales" fld="7" baseField="0" baseItem="0"/>
  </dataFields>
  <formats count="1">
    <format dxfId="22">
      <pivotArea collapsedLevelsAreSubtotals="1" fieldPosition="0">
        <references count="1">
          <reference field="3" count="0"/>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15C3D6-F4D1-43E7-97ED-8223FEE9E2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1">
    <pivotField numFmtId="14" showAll="0"/>
    <pivotField showAll="0">
      <items count="13">
        <item x="9"/>
        <item x="5"/>
        <item x="1"/>
        <item x="0"/>
        <item x="3"/>
        <item x="11"/>
        <item x="6"/>
        <item x="10"/>
        <item x="8"/>
        <item x="4"/>
        <item x="7"/>
        <item x="2"/>
        <item t="default"/>
      </items>
    </pivotField>
    <pivotField axis="axisRow" showAll="0">
      <items count="5">
        <item x="2"/>
        <item x="0"/>
        <item x="1"/>
        <item x="3"/>
        <item t="default"/>
      </items>
    </pivotField>
    <pivotField showAll="0">
      <items count="5">
        <item x="0"/>
        <item x="1"/>
        <item x="3"/>
        <item x="2"/>
        <item t="default"/>
      </items>
    </pivotField>
    <pivotField showAll="0"/>
    <pivotField numFmtId="3" showAll="0"/>
    <pivotField numFmtId="3" showAll="0"/>
    <pivotField dataField="1" numFmtId="3" showAll="0"/>
    <pivotField numFmtId="164" showAll="0"/>
    <pivotField showAll="0"/>
    <pivotField showAll="0"/>
  </pivotFields>
  <rowFields count="1">
    <field x="2"/>
  </rowFields>
  <rowItems count="5">
    <i>
      <x/>
    </i>
    <i>
      <x v="1"/>
    </i>
    <i>
      <x v="2"/>
    </i>
    <i>
      <x v="3"/>
    </i>
    <i t="grand">
      <x/>
    </i>
  </rowItems>
  <colItems count="1">
    <i/>
  </colItems>
  <dataFields count="1">
    <dataField name="Sum of Total Sales" fld="7" baseField="2" baseItem="0" numFmtId="41"/>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8F6631-7305-4DFF-A466-D80ABFEDD7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3:L8" firstHeaderRow="1" firstDataRow="1" firstDataCol="1"/>
  <pivotFields count="11">
    <pivotField numFmtId="14" showAll="0"/>
    <pivotField showAll="0">
      <items count="13">
        <item x="9"/>
        <item x="5"/>
        <item x="1"/>
        <item x="0"/>
        <item x="3"/>
        <item x="11"/>
        <item x="6"/>
        <item x="10"/>
        <item x="8"/>
        <item x="4"/>
        <item x="7"/>
        <item x="2"/>
        <item t="default"/>
      </items>
    </pivotField>
    <pivotField showAll="0">
      <items count="5">
        <item x="2"/>
        <item x="0"/>
        <item x="1"/>
        <item x="3"/>
        <item t="default"/>
      </items>
    </pivotField>
    <pivotField axis="axisRow" showAll="0">
      <items count="5">
        <item x="0"/>
        <item x="1"/>
        <item x="3"/>
        <item x="2"/>
        <item t="default"/>
      </items>
    </pivotField>
    <pivotField dataField="1" showAll="0"/>
    <pivotField numFmtId="3" showAll="0"/>
    <pivotField numFmtId="3" showAll="0"/>
    <pivotField numFmtId="3" showAll="0"/>
    <pivotField numFmtId="164" showAll="0"/>
    <pivotField showAll="0"/>
    <pivotField showAll="0"/>
  </pivotFields>
  <rowFields count="1">
    <field x="3"/>
  </rowFields>
  <rowItems count="5">
    <i>
      <x/>
    </i>
    <i>
      <x v="1"/>
    </i>
    <i>
      <x v="2"/>
    </i>
    <i>
      <x v="3"/>
    </i>
    <i t="grand">
      <x/>
    </i>
  </rowItems>
  <colItems count="1">
    <i/>
  </colItems>
  <dataFields count="1">
    <dataField name="Sum of Units Sold" fld="4" baseField="0" baseItem="0"/>
  </dataFields>
  <chartFormats count="7">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2" format="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33B9666-34FE-4FB8-A8BB-E2000A3CBDC2}" sourceName="Sales Person">
  <pivotTables>
    <pivotTable tabId="2" name="PivotTable1"/>
    <pivotTable tabId="2" name="PivotTable2"/>
    <pivotTable tabId="2" name="PivotTable3"/>
    <pivotTable tabId="2" name="PivotTable4"/>
  </pivotTables>
  <data>
    <tabular pivotCacheId="1558552475">
      <items count="12">
        <i x="9" s="1"/>
        <i x="5" s="1"/>
        <i x="1" s="1"/>
        <i x="0" s="1"/>
        <i x="3" s="1"/>
        <i x="11" s="1"/>
        <i x="6" s="1"/>
        <i x="10" s="1"/>
        <i x="8" s="1"/>
        <i x="4"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B972F3-79D3-4722-B0B7-686F71A0C0EC}" sourceName="Region">
  <pivotTables>
    <pivotTable tabId="2" name="PivotTable1"/>
    <pivotTable tabId="2" name="PivotTable2"/>
    <pivotTable tabId="2" name="PivotTable3"/>
    <pivotTable tabId="2" name="PivotTable4"/>
  </pivotTables>
  <data>
    <tabular pivotCacheId="1558552475">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889FD8F-A855-43A9-AC71-4EE5A080E939}" sourceName="Product">
  <pivotTables>
    <pivotTable tabId="2" name="PivotTable1"/>
    <pivotTable tabId="2" name="PivotTable2"/>
    <pivotTable tabId="2" name="PivotTable3"/>
    <pivotTable tabId="2" name="PivotTable4"/>
  </pivotTables>
  <data>
    <tabular pivotCacheId="155855247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15325E11-ED51-4136-824B-21C36F2C04B8}" cache="Slicer_Sales_Person" caption="Sales Person" rowHeight="241300"/>
  <slicer name="Region 1" xr10:uid="{D1261A93-AFE6-4EC7-9055-E440F91107AB}" cache="Slicer_Region" caption="Region" columnCount="2" showCaption="0" style="SlicerStyleDark1" rowHeight="252000"/>
  <slicer name="Product 1" xr10:uid="{70EEDAA6-368D-4790-AF7D-5E6722697018}"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D9EBF74A-17D4-4939-9F07-E4DF1B702E63}" cache="Slicer_Sales_Person" caption="Sales Person" rowHeight="241300"/>
  <slicer name="Region" xr10:uid="{9AE92D1A-397E-4406-B6F2-01A36B2FD69F}" cache="Slicer_Region" caption="Region" columnCount="2" showCaption="0" rowHeight="252000"/>
  <slicer name="Product" xr10:uid="{7BFAABF9-A69E-496C-B8F1-9F51F3040625}"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9F40C0-5B0A-467B-A6AE-2B0026C85947}" name="Table1" displayName="Table1" ref="A1:K51" totalsRowShown="0" headerRowCellStyle="Accent1">
  <autoFilter ref="A1:K51" xr:uid="{079F40C0-5B0A-467B-A6AE-2B0026C85947}"/>
  <tableColumns count="11">
    <tableColumn id="1" xr3:uid="{109D69D0-7EC4-4A22-85B9-621DDB2E9288}" name="Date" dataDxfId="20"/>
    <tableColumn id="2" xr3:uid="{0E3BAC5F-BD88-487C-B84A-5EBC331DAE60}" name="Sales Person"/>
    <tableColumn id="3" xr3:uid="{C0B61D70-E8DB-409B-A15B-9F8D02974711}" name="Region"/>
    <tableColumn id="4" xr3:uid="{13DC9288-622A-4A4B-B840-C17DA9EF3A1D}" name="Product"/>
    <tableColumn id="5" xr3:uid="{78DFB54E-60CF-414B-BFA8-D0AE9D237791}" name="Units Sold"/>
    <tableColumn id="6" xr3:uid="{EF1ACC09-1765-44A4-B1FC-DB793110C12B}" name="Unit Price" dataDxfId="19"/>
    <tableColumn id="7" xr3:uid="{C0134A63-344C-4EBC-9CF5-4EBC3A73A1EF}" name="Cost of Goods" dataDxfId="18"/>
    <tableColumn id="8" xr3:uid="{0656B903-08E4-4603-8154-A22806F202AA}" name="Total Sales" dataDxfId="17"/>
    <tableColumn id="9" xr3:uid="{3F04DB66-A507-40ED-91FF-D1EE4BB83267}" name="Profit" dataDxfId="16" dataCellStyle="Comma">
      <calculatedColumnFormula>H2-(G2*E2)</calculatedColumnFormula>
    </tableColumn>
    <tableColumn id="10" xr3:uid="{889A9BCC-0CD1-4765-BF3A-57DB9922DF6C}" name="Column1" dataCellStyle="Normal"/>
    <tableColumn id="11" xr3:uid="{56A51E79-A0E7-47A6-8289-645F5C0EA002}" name="Grand Total" dataCellStyle="Norm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1BFE-FBBE-4319-8B46-9013C5632C7B}">
  <dimension ref="D2:W10"/>
  <sheetViews>
    <sheetView showGridLines="0" showRowColHeaders="0" tabSelected="1" zoomScale="67" zoomScaleNormal="85" workbookViewId="0">
      <selection activeCell="W17" sqref="W17"/>
    </sheetView>
  </sheetViews>
  <sheetFormatPr defaultRowHeight="15" x14ac:dyDescent="0.25"/>
  <sheetData>
    <row r="2" spans="4:23" x14ac:dyDescent="0.25">
      <c r="D2" t="s">
        <v>38</v>
      </c>
    </row>
    <row r="4" spans="4:23" x14ac:dyDescent="0.25">
      <c r="S4" t="s">
        <v>38</v>
      </c>
    </row>
    <row r="10" spans="4:23" x14ac:dyDescent="0.25">
      <c r="W10" t="s">
        <v>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D20F-836A-4330-A8EE-6BFD1D7F9B49}">
  <dimension ref="A3:L16"/>
  <sheetViews>
    <sheetView zoomScale="55" workbookViewId="0">
      <selection activeCell="F20" sqref="F20"/>
    </sheetView>
  </sheetViews>
  <sheetFormatPr defaultRowHeight="15" x14ac:dyDescent="0.25"/>
  <cols>
    <col min="1" max="1" width="19.85546875" bestFit="1" customWidth="1"/>
    <col min="2" max="2" width="24.85546875" bestFit="1" customWidth="1"/>
    <col min="4" max="4" width="19.85546875" bestFit="1" customWidth="1"/>
    <col min="5" max="5" width="24.85546875" bestFit="1" customWidth="1"/>
    <col min="7" max="7" width="19.85546875" bestFit="1" customWidth="1"/>
    <col min="8" max="8" width="24.85546875" bestFit="1" customWidth="1"/>
    <col min="9" max="9" width="17.28515625" customWidth="1"/>
    <col min="11" max="11" width="19.85546875" bestFit="1" customWidth="1"/>
    <col min="12" max="12" width="24" bestFit="1" customWidth="1"/>
    <col min="13" max="13" width="16.7109375" bestFit="1" customWidth="1"/>
  </cols>
  <sheetData>
    <row r="3" spans="1:12" x14ac:dyDescent="0.25">
      <c r="A3" s="5" t="s">
        <v>35</v>
      </c>
      <c r="B3" t="s">
        <v>36</v>
      </c>
      <c r="D3" s="5" t="s">
        <v>35</v>
      </c>
      <c r="E3" t="s">
        <v>36</v>
      </c>
      <c r="G3" s="5" t="s">
        <v>35</v>
      </c>
      <c r="H3" t="s">
        <v>36</v>
      </c>
      <c r="K3" s="5" t="s">
        <v>35</v>
      </c>
      <c r="L3" t="s">
        <v>37</v>
      </c>
    </row>
    <row r="4" spans="1:12" x14ac:dyDescent="0.25">
      <c r="A4" s="6" t="s">
        <v>15</v>
      </c>
      <c r="B4" s="7">
        <v>50890000</v>
      </c>
      <c r="D4" s="6" t="s">
        <v>10</v>
      </c>
      <c r="E4" s="8">
        <v>78480000</v>
      </c>
      <c r="G4" s="6" t="s">
        <v>25</v>
      </c>
      <c r="H4" s="8">
        <v>10520000</v>
      </c>
      <c r="I4" s="8"/>
      <c r="K4" s="6" t="s">
        <v>10</v>
      </c>
      <c r="L4" s="9">
        <v>1308</v>
      </c>
    </row>
    <row r="5" spans="1:12" x14ac:dyDescent="0.25">
      <c r="A5" s="6" t="s">
        <v>9</v>
      </c>
      <c r="B5" s="7">
        <v>48315000</v>
      </c>
      <c r="D5" s="6" t="s">
        <v>13</v>
      </c>
      <c r="E5" s="8">
        <v>84760000</v>
      </c>
      <c r="G5" s="6" t="s">
        <v>21</v>
      </c>
      <c r="H5" s="8">
        <v>13675000</v>
      </c>
      <c r="I5" s="8"/>
      <c r="K5" s="6" t="s">
        <v>13</v>
      </c>
      <c r="L5" s="9">
        <v>2119</v>
      </c>
    </row>
    <row r="6" spans="1:12" x14ac:dyDescent="0.25">
      <c r="A6" s="6" t="s">
        <v>12</v>
      </c>
      <c r="B6" s="7">
        <v>60820000</v>
      </c>
      <c r="D6" s="6" t="s">
        <v>20</v>
      </c>
      <c r="E6" s="8">
        <v>8085000</v>
      </c>
      <c r="G6" s="6" t="s">
        <v>11</v>
      </c>
      <c r="H6" s="8">
        <v>28660000</v>
      </c>
      <c r="I6" s="8"/>
      <c r="K6" s="6" t="s">
        <v>20</v>
      </c>
      <c r="L6" s="9">
        <v>539</v>
      </c>
    </row>
    <row r="7" spans="1:12" x14ac:dyDescent="0.25">
      <c r="A7" s="6" t="s">
        <v>18</v>
      </c>
      <c r="B7" s="7">
        <v>38425000</v>
      </c>
      <c r="D7" s="6" t="s">
        <v>16</v>
      </c>
      <c r="E7" s="8">
        <v>27125000</v>
      </c>
      <c r="G7" s="6" t="s">
        <v>8</v>
      </c>
      <c r="H7" s="8">
        <v>29750000</v>
      </c>
      <c r="I7" s="8"/>
      <c r="K7" s="6" t="s">
        <v>16</v>
      </c>
      <c r="L7" s="9">
        <v>775</v>
      </c>
    </row>
    <row r="8" spans="1:12" x14ac:dyDescent="0.25">
      <c r="A8" s="6" t="s">
        <v>29</v>
      </c>
      <c r="B8" s="7">
        <v>198450000</v>
      </c>
      <c r="D8" s="6" t="s">
        <v>29</v>
      </c>
      <c r="E8" s="9">
        <v>198450000</v>
      </c>
      <c r="G8" s="6" t="s">
        <v>17</v>
      </c>
      <c r="H8" s="8">
        <v>13815000</v>
      </c>
      <c r="I8" s="8"/>
      <c r="K8" s="6" t="s">
        <v>29</v>
      </c>
      <c r="L8" s="9">
        <v>4741</v>
      </c>
    </row>
    <row r="9" spans="1:12" x14ac:dyDescent="0.25">
      <c r="G9" s="6" t="s">
        <v>27</v>
      </c>
      <c r="H9" s="8">
        <v>8400000</v>
      </c>
      <c r="I9" s="8"/>
    </row>
    <row r="10" spans="1:12" x14ac:dyDescent="0.25">
      <c r="G10" s="6" t="s">
        <v>22</v>
      </c>
      <c r="H10" s="8">
        <v>7695000</v>
      </c>
      <c r="I10" s="8"/>
    </row>
    <row r="11" spans="1:12" x14ac:dyDescent="0.25">
      <c r="G11" s="6" t="s">
        <v>26</v>
      </c>
      <c r="H11" s="8">
        <v>17160000</v>
      </c>
      <c r="I11" s="8"/>
    </row>
    <row r="12" spans="1:12" x14ac:dyDescent="0.25">
      <c r="G12" s="6" t="s">
        <v>24</v>
      </c>
      <c r="H12" s="8">
        <v>7170000</v>
      </c>
      <c r="I12" s="8"/>
    </row>
    <row r="13" spans="1:12" x14ac:dyDescent="0.25">
      <c r="G13" s="6" t="s">
        <v>19</v>
      </c>
      <c r="H13" s="8">
        <v>23000000</v>
      </c>
      <c r="I13" s="8"/>
    </row>
    <row r="14" spans="1:12" x14ac:dyDescent="0.25">
      <c r="G14" s="6" t="s">
        <v>23</v>
      </c>
      <c r="H14" s="8">
        <v>19420000</v>
      </c>
      <c r="I14" s="8"/>
    </row>
    <row r="15" spans="1:12" x14ac:dyDescent="0.25">
      <c r="G15" s="6" t="s">
        <v>14</v>
      </c>
      <c r="H15" s="8">
        <v>19185000</v>
      </c>
      <c r="I15" s="8"/>
    </row>
    <row r="16" spans="1:12" x14ac:dyDescent="0.25">
      <c r="G16" s="6" t="s">
        <v>29</v>
      </c>
      <c r="H16" s="9">
        <v>198450000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7EF4-A3E7-4162-8026-5D1F2592EC95}">
  <dimension ref="A1:K51"/>
  <sheetViews>
    <sheetView workbookViewId="0">
      <selection activeCell="K8" sqref="K8"/>
    </sheetView>
  </sheetViews>
  <sheetFormatPr defaultRowHeight="15" x14ac:dyDescent="0.25"/>
  <cols>
    <col min="1" max="1" width="10.42578125" bestFit="1" customWidth="1"/>
    <col min="2" max="2" width="17.5703125" bestFit="1" customWidth="1"/>
    <col min="3" max="3" width="9.28515625" customWidth="1"/>
    <col min="4" max="4" width="10.28515625" customWidth="1"/>
    <col min="5" max="5" width="12.140625" customWidth="1"/>
    <col min="6" max="6" width="11.85546875" customWidth="1"/>
    <col min="7" max="7" width="15.42578125" customWidth="1"/>
    <col min="8" max="8" width="12.5703125" customWidth="1"/>
    <col min="9" max="9" width="12.5703125" bestFit="1" customWidth="1"/>
    <col min="10" max="10" width="35" bestFit="1" customWidth="1"/>
    <col min="11" max="11" width="15.28515625" bestFit="1" customWidth="1"/>
  </cols>
  <sheetData>
    <row r="1" spans="1:11" x14ac:dyDescent="0.25">
      <c r="A1" s="2" t="s">
        <v>0</v>
      </c>
      <c r="B1" s="2" t="s">
        <v>1</v>
      </c>
      <c r="C1" s="2" t="s">
        <v>2</v>
      </c>
      <c r="D1" s="2" t="s">
        <v>3</v>
      </c>
      <c r="E1" s="2" t="s">
        <v>4</v>
      </c>
      <c r="F1" s="2" t="s">
        <v>5</v>
      </c>
      <c r="G1" s="2" t="s">
        <v>6</v>
      </c>
      <c r="H1" s="2" t="s">
        <v>7</v>
      </c>
      <c r="I1" s="2" t="s">
        <v>28</v>
      </c>
      <c r="J1" t="s">
        <v>34</v>
      </c>
      <c r="K1" s="2" t="s">
        <v>29</v>
      </c>
    </row>
    <row r="2" spans="1:11" x14ac:dyDescent="0.25">
      <c r="A2" s="1">
        <v>45296</v>
      </c>
      <c r="B2" t="s">
        <v>8</v>
      </c>
      <c r="C2" t="s">
        <v>9</v>
      </c>
      <c r="D2" t="s">
        <v>10</v>
      </c>
      <c r="E2">
        <v>84</v>
      </c>
      <c r="F2" s="3">
        <v>60000</v>
      </c>
      <c r="G2" s="3">
        <v>40000</v>
      </c>
      <c r="H2" s="3">
        <v>5040000</v>
      </c>
      <c r="I2" s="4">
        <f>H2-(G2*E2)</f>
        <v>1680000</v>
      </c>
      <c r="J2" t="s">
        <v>33</v>
      </c>
      <c r="K2" s="4">
        <f>SUM(H2:H51)</f>
        <v>198450000</v>
      </c>
    </row>
    <row r="3" spans="1:11" x14ac:dyDescent="0.25">
      <c r="A3" s="1">
        <v>45698</v>
      </c>
      <c r="B3" t="s">
        <v>11</v>
      </c>
      <c r="C3" t="s">
        <v>12</v>
      </c>
      <c r="D3" t="s">
        <v>13</v>
      </c>
      <c r="E3">
        <v>128</v>
      </c>
      <c r="F3" s="3">
        <v>40000</v>
      </c>
      <c r="G3" s="3">
        <v>30000</v>
      </c>
      <c r="H3" s="3">
        <v>5120000</v>
      </c>
      <c r="I3" s="4">
        <f t="shared" ref="I3:I50" si="0">H3-(G3*E3)</f>
        <v>1280000</v>
      </c>
      <c r="K3" t="s">
        <v>30</v>
      </c>
    </row>
    <row r="4" spans="1:11" x14ac:dyDescent="0.25">
      <c r="A4" s="1">
        <v>46096</v>
      </c>
      <c r="B4" t="s">
        <v>14</v>
      </c>
      <c r="C4" t="s">
        <v>15</v>
      </c>
      <c r="D4" t="s">
        <v>16</v>
      </c>
      <c r="E4">
        <v>96</v>
      </c>
      <c r="F4" s="3">
        <v>35000</v>
      </c>
      <c r="G4" s="3">
        <v>25000</v>
      </c>
      <c r="H4" s="3">
        <v>3360000</v>
      </c>
      <c r="I4" s="4">
        <f t="shared" si="0"/>
        <v>960000</v>
      </c>
      <c r="K4">
        <f>SUM(E2:E51)</f>
        <v>4741</v>
      </c>
    </row>
    <row r="5" spans="1:11" x14ac:dyDescent="0.25">
      <c r="A5" s="1">
        <v>45402</v>
      </c>
      <c r="B5" t="s">
        <v>17</v>
      </c>
      <c r="C5" t="s">
        <v>18</v>
      </c>
      <c r="D5" t="s">
        <v>10</v>
      </c>
      <c r="E5">
        <v>72</v>
      </c>
      <c r="F5" s="3">
        <v>60000</v>
      </c>
      <c r="G5" s="3">
        <v>40000</v>
      </c>
      <c r="H5" s="3">
        <v>4320000</v>
      </c>
      <c r="I5" s="4">
        <f t="shared" si="0"/>
        <v>1440000</v>
      </c>
      <c r="K5" t="s">
        <v>31</v>
      </c>
    </row>
    <row r="6" spans="1:11" x14ac:dyDescent="0.25">
      <c r="A6" s="1">
        <v>45789</v>
      </c>
      <c r="B6" t="s">
        <v>19</v>
      </c>
      <c r="C6" t="s">
        <v>9</v>
      </c>
      <c r="D6" t="s">
        <v>20</v>
      </c>
      <c r="E6">
        <v>60</v>
      </c>
      <c r="F6" s="3">
        <v>15000</v>
      </c>
      <c r="G6" s="3">
        <v>10000</v>
      </c>
      <c r="H6" s="3">
        <v>900000</v>
      </c>
      <c r="I6" s="4">
        <f t="shared" si="0"/>
        <v>300000</v>
      </c>
      <c r="K6" s="4">
        <f>SUM(I2:I51 )</f>
        <v>57795000</v>
      </c>
    </row>
    <row r="7" spans="1:11" x14ac:dyDescent="0.25">
      <c r="A7" s="1">
        <v>46191</v>
      </c>
      <c r="B7" t="s">
        <v>21</v>
      </c>
      <c r="C7" t="s">
        <v>12</v>
      </c>
      <c r="D7" t="s">
        <v>13</v>
      </c>
      <c r="E7">
        <v>110</v>
      </c>
      <c r="F7" s="3">
        <v>40000</v>
      </c>
      <c r="G7" s="3">
        <v>30000</v>
      </c>
      <c r="H7" s="3">
        <v>4400000</v>
      </c>
      <c r="I7" s="4">
        <f t="shared" si="0"/>
        <v>1100000</v>
      </c>
      <c r="K7" t="s">
        <v>32</v>
      </c>
    </row>
    <row r="8" spans="1:11" x14ac:dyDescent="0.25">
      <c r="A8" s="1">
        <v>45482</v>
      </c>
      <c r="B8" t="s">
        <v>8</v>
      </c>
      <c r="C8" t="s">
        <v>15</v>
      </c>
      <c r="D8" t="s">
        <v>10</v>
      </c>
      <c r="E8">
        <v>90</v>
      </c>
      <c r="F8" s="3">
        <v>60000</v>
      </c>
      <c r="G8" s="3">
        <v>40000</v>
      </c>
      <c r="H8" s="3">
        <v>5400000</v>
      </c>
      <c r="I8" s="4">
        <f t="shared" si="0"/>
        <v>1800000</v>
      </c>
      <c r="K8" s="4">
        <f>AVERAGE(H2:H51)</f>
        <v>3969000</v>
      </c>
    </row>
    <row r="9" spans="1:11" x14ac:dyDescent="0.25">
      <c r="A9" s="1">
        <v>45891</v>
      </c>
      <c r="B9" t="s">
        <v>22</v>
      </c>
      <c r="C9" t="s">
        <v>18</v>
      </c>
      <c r="D9" t="s">
        <v>16</v>
      </c>
      <c r="E9">
        <v>85</v>
      </c>
      <c r="F9" s="3">
        <v>35000</v>
      </c>
      <c r="G9" s="3">
        <v>25000</v>
      </c>
      <c r="H9" s="3">
        <v>2975000</v>
      </c>
      <c r="I9" s="4">
        <f t="shared" si="0"/>
        <v>850000</v>
      </c>
    </row>
    <row r="10" spans="1:11" x14ac:dyDescent="0.25">
      <c r="A10" s="1">
        <v>46279</v>
      </c>
      <c r="B10" t="s">
        <v>11</v>
      </c>
      <c r="C10" t="s">
        <v>9</v>
      </c>
      <c r="D10" t="s">
        <v>13</v>
      </c>
      <c r="E10">
        <v>140</v>
      </c>
      <c r="F10" s="3">
        <v>40000</v>
      </c>
      <c r="G10" s="3">
        <v>30000</v>
      </c>
      <c r="H10" s="3">
        <v>5600000</v>
      </c>
      <c r="I10" s="4">
        <f t="shared" si="0"/>
        <v>1400000</v>
      </c>
    </row>
    <row r="11" spans="1:11" x14ac:dyDescent="0.25">
      <c r="A11" s="1">
        <v>45568</v>
      </c>
      <c r="B11" t="s">
        <v>23</v>
      </c>
      <c r="C11" t="s">
        <v>12</v>
      </c>
      <c r="D11" t="s">
        <v>10</v>
      </c>
      <c r="E11">
        <v>65</v>
      </c>
      <c r="F11" s="3">
        <v>60000</v>
      </c>
      <c r="G11" s="3">
        <v>40000</v>
      </c>
      <c r="H11" s="3">
        <v>3900000</v>
      </c>
      <c r="I11" s="4">
        <f t="shared" si="0"/>
        <v>1300000</v>
      </c>
    </row>
    <row r="12" spans="1:11" x14ac:dyDescent="0.25">
      <c r="A12" s="1">
        <v>45972</v>
      </c>
      <c r="B12" t="s">
        <v>24</v>
      </c>
      <c r="C12" t="s">
        <v>15</v>
      </c>
      <c r="D12" t="s">
        <v>20</v>
      </c>
      <c r="E12">
        <v>55</v>
      </c>
      <c r="F12" s="3">
        <v>15000</v>
      </c>
      <c r="G12" s="3">
        <v>10000</v>
      </c>
      <c r="H12" s="3">
        <v>825000</v>
      </c>
      <c r="I12" s="4">
        <f t="shared" si="0"/>
        <v>275000</v>
      </c>
    </row>
    <row r="13" spans="1:11" x14ac:dyDescent="0.25">
      <c r="A13" s="1">
        <v>46361</v>
      </c>
      <c r="B13" t="s">
        <v>25</v>
      </c>
      <c r="C13" t="s">
        <v>18</v>
      </c>
      <c r="D13" t="s">
        <v>13</v>
      </c>
      <c r="E13">
        <v>120</v>
      </c>
      <c r="F13" s="3">
        <v>40000</v>
      </c>
      <c r="G13" s="3">
        <v>30000</v>
      </c>
      <c r="H13" s="3">
        <v>4800000</v>
      </c>
      <c r="I13" s="4">
        <f t="shared" si="0"/>
        <v>1200000</v>
      </c>
    </row>
    <row r="14" spans="1:11" x14ac:dyDescent="0.25">
      <c r="A14" s="1">
        <v>45310</v>
      </c>
      <c r="B14" t="s">
        <v>17</v>
      </c>
      <c r="C14" t="s">
        <v>9</v>
      </c>
      <c r="D14" t="s">
        <v>16</v>
      </c>
      <c r="E14">
        <v>78</v>
      </c>
      <c r="F14" s="3">
        <v>35000</v>
      </c>
      <c r="G14" s="3">
        <v>25000</v>
      </c>
      <c r="H14" s="3">
        <v>2730000</v>
      </c>
      <c r="I14" s="4">
        <f t="shared" si="0"/>
        <v>780000</v>
      </c>
    </row>
    <row r="15" spans="1:11" x14ac:dyDescent="0.25">
      <c r="A15" s="1">
        <v>45711</v>
      </c>
      <c r="B15" t="s">
        <v>8</v>
      </c>
      <c r="C15" t="s">
        <v>12</v>
      </c>
      <c r="D15" t="s">
        <v>10</v>
      </c>
      <c r="E15">
        <v>88</v>
      </c>
      <c r="F15" s="3">
        <v>60000</v>
      </c>
      <c r="G15" s="3">
        <v>40000</v>
      </c>
      <c r="H15" s="3">
        <v>5280000</v>
      </c>
      <c r="I15" s="4">
        <f t="shared" si="0"/>
        <v>1760000</v>
      </c>
    </row>
    <row r="16" spans="1:11" x14ac:dyDescent="0.25">
      <c r="A16" s="1">
        <v>46089</v>
      </c>
      <c r="B16" t="s">
        <v>26</v>
      </c>
      <c r="C16" t="s">
        <v>15</v>
      </c>
      <c r="D16" t="s">
        <v>13</v>
      </c>
      <c r="E16">
        <v>134</v>
      </c>
      <c r="F16" s="3">
        <v>40000</v>
      </c>
      <c r="G16" s="3">
        <v>30000</v>
      </c>
      <c r="H16" s="3">
        <v>5360000</v>
      </c>
      <c r="I16" s="4">
        <f t="shared" si="0"/>
        <v>1340000</v>
      </c>
    </row>
    <row r="17" spans="1:9" x14ac:dyDescent="0.25">
      <c r="A17" s="1">
        <v>45409</v>
      </c>
      <c r="B17" t="s">
        <v>21</v>
      </c>
      <c r="C17" t="s">
        <v>18</v>
      </c>
      <c r="D17" t="s">
        <v>20</v>
      </c>
      <c r="E17">
        <v>62</v>
      </c>
      <c r="F17" s="3">
        <v>15000</v>
      </c>
      <c r="G17" s="3">
        <v>10000</v>
      </c>
      <c r="H17" s="3">
        <v>930000</v>
      </c>
      <c r="I17" s="4">
        <f t="shared" si="0"/>
        <v>310000</v>
      </c>
    </row>
    <row r="18" spans="1:9" x14ac:dyDescent="0.25">
      <c r="A18" s="1">
        <v>45807</v>
      </c>
      <c r="B18" t="s">
        <v>14</v>
      </c>
      <c r="C18" t="s">
        <v>9</v>
      </c>
      <c r="D18" t="s">
        <v>10</v>
      </c>
      <c r="E18">
        <v>74</v>
      </c>
      <c r="F18" s="3">
        <v>60000</v>
      </c>
      <c r="G18" s="3">
        <v>40000</v>
      </c>
      <c r="H18" s="3">
        <v>4440000</v>
      </c>
      <c r="I18" s="4">
        <f t="shared" si="0"/>
        <v>1480000</v>
      </c>
    </row>
    <row r="19" spans="1:9" x14ac:dyDescent="0.25">
      <c r="A19" s="1">
        <v>46184</v>
      </c>
      <c r="B19" t="s">
        <v>11</v>
      </c>
      <c r="C19" t="s">
        <v>12</v>
      </c>
      <c r="D19" t="s">
        <v>16</v>
      </c>
      <c r="E19">
        <v>91</v>
      </c>
      <c r="F19" s="3">
        <v>35000</v>
      </c>
      <c r="G19" s="3">
        <v>25000</v>
      </c>
      <c r="H19" s="3">
        <v>3185000</v>
      </c>
      <c r="I19" s="4">
        <f t="shared" si="0"/>
        <v>910000</v>
      </c>
    </row>
    <row r="20" spans="1:9" x14ac:dyDescent="0.25">
      <c r="A20" s="1">
        <v>45489</v>
      </c>
      <c r="B20" t="s">
        <v>19</v>
      </c>
      <c r="C20" t="s">
        <v>15</v>
      </c>
      <c r="D20" t="s">
        <v>13</v>
      </c>
      <c r="E20">
        <v>145</v>
      </c>
      <c r="F20" s="3">
        <v>40000</v>
      </c>
      <c r="G20" s="3">
        <v>30000</v>
      </c>
      <c r="H20" s="3">
        <v>5800000</v>
      </c>
      <c r="I20" s="4">
        <f t="shared" si="0"/>
        <v>1450000</v>
      </c>
    </row>
    <row r="21" spans="1:9" x14ac:dyDescent="0.25">
      <c r="A21" s="1">
        <v>45873</v>
      </c>
      <c r="B21" t="s">
        <v>27</v>
      </c>
      <c r="C21" t="s">
        <v>18</v>
      </c>
      <c r="D21" t="s">
        <v>10</v>
      </c>
      <c r="E21">
        <v>69</v>
      </c>
      <c r="F21" s="3">
        <v>60000</v>
      </c>
      <c r="G21" s="3">
        <v>40000</v>
      </c>
      <c r="H21" s="3">
        <v>4140000</v>
      </c>
      <c r="I21" s="4">
        <f t="shared" si="0"/>
        <v>1380000</v>
      </c>
    </row>
    <row r="22" spans="1:9" x14ac:dyDescent="0.25">
      <c r="A22" s="1">
        <v>46284</v>
      </c>
      <c r="B22" t="s">
        <v>24</v>
      </c>
      <c r="C22" t="s">
        <v>9</v>
      </c>
      <c r="D22" t="s">
        <v>20</v>
      </c>
      <c r="E22">
        <v>58</v>
      </c>
      <c r="F22" s="3">
        <v>15000</v>
      </c>
      <c r="G22" s="3">
        <v>10000</v>
      </c>
      <c r="H22" s="3">
        <v>870000</v>
      </c>
      <c r="I22" s="4">
        <f t="shared" si="0"/>
        <v>290000</v>
      </c>
    </row>
    <row r="23" spans="1:9" x14ac:dyDescent="0.25">
      <c r="A23" s="1">
        <v>45590</v>
      </c>
      <c r="B23" t="s">
        <v>26</v>
      </c>
      <c r="C23" t="s">
        <v>12</v>
      </c>
      <c r="D23" t="s">
        <v>13</v>
      </c>
      <c r="E23">
        <v>132</v>
      </c>
      <c r="F23" s="3">
        <v>40000</v>
      </c>
      <c r="G23" s="3">
        <v>30000</v>
      </c>
      <c r="H23" s="3">
        <v>5280000</v>
      </c>
      <c r="I23" s="4">
        <f t="shared" si="0"/>
        <v>1320000</v>
      </c>
    </row>
    <row r="24" spans="1:9" x14ac:dyDescent="0.25">
      <c r="A24" s="1">
        <v>45975</v>
      </c>
      <c r="B24" t="s">
        <v>23</v>
      </c>
      <c r="C24" t="s">
        <v>15</v>
      </c>
      <c r="D24" t="s">
        <v>10</v>
      </c>
      <c r="E24">
        <v>95</v>
      </c>
      <c r="F24" s="3">
        <v>60000</v>
      </c>
      <c r="G24" s="3">
        <v>40000</v>
      </c>
      <c r="H24" s="3">
        <v>5700000</v>
      </c>
      <c r="I24" s="4">
        <f t="shared" si="0"/>
        <v>1900000</v>
      </c>
    </row>
    <row r="25" spans="1:9" x14ac:dyDescent="0.25">
      <c r="A25" s="1">
        <v>46365</v>
      </c>
      <c r="B25" t="s">
        <v>17</v>
      </c>
      <c r="C25" t="s">
        <v>18</v>
      </c>
      <c r="D25" t="s">
        <v>16</v>
      </c>
      <c r="E25">
        <v>80</v>
      </c>
      <c r="F25" s="3">
        <v>35000</v>
      </c>
      <c r="G25" s="3">
        <v>25000</v>
      </c>
      <c r="H25" s="3">
        <v>2800000</v>
      </c>
      <c r="I25" s="4">
        <f t="shared" si="0"/>
        <v>800000</v>
      </c>
    </row>
    <row r="26" spans="1:9" x14ac:dyDescent="0.25">
      <c r="A26" s="1">
        <v>45319</v>
      </c>
      <c r="B26" t="s">
        <v>11</v>
      </c>
      <c r="C26" t="s">
        <v>9</v>
      </c>
      <c r="D26" t="s">
        <v>13</v>
      </c>
      <c r="E26">
        <v>150</v>
      </c>
      <c r="F26" s="3">
        <v>40000</v>
      </c>
      <c r="G26" s="3">
        <v>30000</v>
      </c>
      <c r="H26" s="3">
        <v>6000000</v>
      </c>
      <c r="I26" s="4">
        <f t="shared" si="0"/>
        <v>1500000</v>
      </c>
    </row>
    <row r="27" spans="1:9" x14ac:dyDescent="0.25">
      <c r="A27" s="1">
        <v>45705</v>
      </c>
      <c r="B27" t="s">
        <v>21</v>
      </c>
      <c r="C27" t="s">
        <v>12</v>
      </c>
      <c r="D27" t="s">
        <v>10</v>
      </c>
      <c r="E27">
        <v>77</v>
      </c>
      <c r="F27" s="3">
        <v>60000</v>
      </c>
      <c r="G27" s="3">
        <v>40000</v>
      </c>
      <c r="H27" s="3">
        <v>4620000</v>
      </c>
      <c r="I27" s="4">
        <f t="shared" si="0"/>
        <v>1540000</v>
      </c>
    </row>
    <row r="28" spans="1:9" x14ac:dyDescent="0.25">
      <c r="A28" s="1">
        <v>46107</v>
      </c>
      <c r="B28" t="s">
        <v>14</v>
      </c>
      <c r="C28" t="s">
        <v>15</v>
      </c>
      <c r="D28" t="s">
        <v>20</v>
      </c>
      <c r="E28">
        <v>63</v>
      </c>
      <c r="F28" s="3">
        <v>15000</v>
      </c>
      <c r="G28" s="3">
        <v>10000</v>
      </c>
      <c r="H28" s="3">
        <v>945000</v>
      </c>
      <c r="I28" s="4">
        <f t="shared" si="0"/>
        <v>315000</v>
      </c>
    </row>
    <row r="29" spans="1:9" x14ac:dyDescent="0.25">
      <c r="A29" s="1">
        <v>45390</v>
      </c>
      <c r="B29" t="s">
        <v>22</v>
      </c>
      <c r="C29" t="s">
        <v>18</v>
      </c>
      <c r="D29" t="s">
        <v>13</v>
      </c>
      <c r="E29">
        <v>118</v>
      </c>
      <c r="F29" s="3">
        <v>40000</v>
      </c>
      <c r="G29" s="3">
        <v>30000</v>
      </c>
      <c r="H29" s="3">
        <v>4720000</v>
      </c>
      <c r="I29" s="4">
        <f t="shared" si="0"/>
        <v>1180000</v>
      </c>
    </row>
    <row r="30" spans="1:9" x14ac:dyDescent="0.25">
      <c r="A30" s="1">
        <v>45798</v>
      </c>
      <c r="B30" t="s">
        <v>8</v>
      </c>
      <c r="C30" t="s">
        <v>9</v>
      </c>
      <c r="D30" t="s">
        <v>16</v>
      </c>
      <c r="E30">
        <v>86</v>
      </c>
      <c r="F30" s="3">
        <v>35000</v>
      </c>
      <c r="G30" s="3">
        <v>25000</v>
      </c>
      <c r="H30" s="3">
        <v>3010000</v>
      </c>
      <c r="I30" s="4">
        <f t="shared" si="0"/>
        <v>860000</v>
      </c>
    </row>
    <row r="31" spans="1:9" x14ac:dyDescent="0.25">
      <c r="A31" s="1">
        <v>46202</v>
      </c>
      <c r="B31" t="s">
        <v>19</v>
      </c>
      <c r="C31" t="s">
        <v>12</v>
      </c>
      <c r="D31" t="s">
        <v>10</v>
      </c>
      <c r="E31">
        <v>92</v>
      </c>
      <c r="F31" s="3">
        <v>60000</v>
      </c>
      <c r="G31" s="3">
        <v>40000</v>
      </c>
      <c r="H31" s="3">
        <v>5520000</v>
      </c>
      <c r="I31" s="4">
        <f t="shared" si="0"/>
        <v>1840000</v>
      </c>
    </row>
    <row r="32" spans="1:9" x14ac:dyDescent="0.25">
      <c r="A32" s="1">
        <v>45475</v>
      </c>
      <c r="B32" t="s">
        <v>26</v>
      </c>
      <c r="C32" t="s">
        <v>15</v>
      </c>
      <c r="D32" t="s">
        <v>13</v>
      </c>
      <c r="E32">
        <v>139</v>
      </c>
      <c r="F32" s="3">
        <v>40000</v>
      </c>
      <c r="G32" s="3">
        <v>30000</v>
      </c>
      <c r="H32" s="3">
        <v>5560000</v>
      </c>
      <c r="I32" s="4">
        <f t="shared" si="0"/>
        <v>1390000</v>
      </c>
    </row>
    <row r="33" spans="1:9" x14ac:dyDescent="0.25">
      <c r="A33" s="1">
        <v>45887</v>
      </c>
      <c r="B33" t="s">
        <v>24</v>
      </c>
      <c r="C33" t="s">
        <v>18</v>
      </c>
      <c r="D33" t="s">
        <v>20</v>
      </c>
      <c r="E33">
        <v>61</v>
      </c>
      <c r="F33" s="3">
        <v>15000</v>
      </c>
      <c r="G33" s="3">
        <v>10000</v>
      </c>
      <c r="H33" s="3">
        <v>915000</v>
      </c>
      <c r="I33" s="4">
        <f t="shared" si="0"/>
        <v>305000</v>
      </c>
    </row>
    <row r="34" spans="1:9" x14ac:dyDescent="0.25">
      <c r="A34" s="1">
        <v>46272</v>
      </c>
      <c r="B34" t="s">
        <v>23</v>
      </c>
      <c r="C34" t="s">
        <v>9</v>
      </c>
      <c r="D34" t="s">
        <v>10</v>
      </c>
      <c r="E34">
        <v>83</v>
      </c>
      <c r="F34" s="3">
        <v>60000</v>
      </c>
      <c r="G34" s="3">
        <v>40000</v>
      </c>
      <c r="H34" s="3">
        <v>4980000</v>
      </c>
      <c r="I34" s="4">
        <f t="shared" si="0"/>
        <v>1660000</v>
      </c>
    </row>
    <row r="35" spans="1:9" x14ac:dyDescent="0.25">
      <c r="A35" s="1">
        <v>45578</v>
      </c>
      <c r="B35" t="s">
        <v>11</v>
      </c>
      <c r="C35" t="s">
        <v>12</v>
      </c>
      <c r="D35" t="s">
        <v>16</v>
      </c>
      <c r="E35">
        <v>89</v>
      </c>
      <c r="F35" s="3">
        <v>35000</v>
      </c>
      <c r="G35" s="3">
        <v>25000</v>
      </c>
      <c r="H35" s="3">
        <v>3115000</v>
      </c>
      <c r="I35" s="4">
        <f t="shared" si="0"/>
        <v>890000</v>
      </c>
    </row>
    <row r="36" spans="1:9" x14ac:dyDescent="0.25">
      <c r="A36" s="1">
        <v>45988</v>
      </c>
      <c r="B36" t="s">
        <v>25</v>
      </c>
      <c r="C36" t="s">
        <v>15</v>
      </c>
      <c r="D36" t="s">
        <v>13</v>
      </c>
      <c r="E36">
        <v>143</v>
      </c>
      <c r="F36" s="3">
        <v>40000</v>
      </c>
      <c r="G36" s="3">
        <v>30000</v>
      </c>
      <c r="H36" s="3">
        <v>5720000</v>
      </c>
      <c r="I36" s="4">
        <f t="shared" si="0"/>
        <v>1430000</v>
      </c>
    </row>
    <row r="37" spans="1:9" x14ac:dyDescent="0.25">
      <c r="A37" s="1">
        <v>46372</v>
      </c>
      <c r="B37" t="s">
        <v>27</v>
      </c>
      <c r="C37" t="s">
        <v>18</v>
      </c>
      <c r="D37" t="s">
        <v>10</v>
      </c>
      <c r="E37">
        <v>71</v>
      </c>
      <c r="F37" s="3">
        <v>60000</v>
      </c>
      <c r="G37" s="3">
        <v>40000</v>
      </c>
      <c r="H37" s="3">
        <v>4260000</v>
      </c>
      <c r="I37" s="4">
        <f t="shared" si="0"/>
        <v>1420000</v>
      </c>
    </row>
    <row r="38" spans="1:9" x14ac:dyDescent="0.25">
      <c r="A38" s="1">
        <v>45301</v>
      </c>
      <c r="B38" t="s">
        <v>17</v>
      </c>
      <c r="C38" t="s">
        <v>9</v>
      </c>
      <c r="D38" t="s">
        <v>20</v>
      </c>
      <c r="E38">
        <v>59</v>
      </c>
      <c r="F38" s="3">
        <v>15000</v>
      </c>
      <c r="G38" s="3">
        <v>10000</v>
      </c>
      <c r="H38" s="3">
        <v>885000</v>
      </c>
      <c r="I38" s="4">
        <f t="shared" si="0"/>
        <v>295000</v>
      </c>
    </row>
    <row r="39" spans="1:9" x14ac:dyDescent="0.25">
      <c r="A39" s="1">
        <v>45694</v>
      </c>
      <c r="B39" t="s">
        <v>14</v>
      </c>
      <c r="C39" t="s">
        <v>12</v>
      </c>
      <c r="D39" t="s">
        <v>13</v>
      </c>
      <c r="E39">
        <v>125</v>
      </c>
      <c r="F39" s="3">
        <v>40000</v>
      </c>
      <c r="G39" s="3">
        <v>30000</v>
      </c>
      <c r="H39" s="3">
        <v>5000000</v>
      </c>
      <c r="I39" s="4">
        <f t="shared" si="0"/>
        <v>1250000</v>
      </c>
    </row>
    <row r="40" spans="1:9" x14ac:dyDescent="0.25">
      <c r="A40" s="1">
        <v>46103</v>
      </c>
      <c r="B40" t="s">
        <v>8</v>
      </c>
      <c r="C40" t="s">
        <v>15</v>
      </c>
      <c r="D40" t="s">
        <v>10</v>
      </c>
      <c r="E40">
        <v>97</v>
      </c>
      <c r="F40" s="3">
        <v>60000</v>
      </c>
      <c r="G40" s="3">
        <v>40000</v>
      </c>
      <c r="H40" s="3">
        <v>5820000</v>
      </c>
      <c r="I40" s="4">
        <f t="shared" si="0"/>
        <v>1940000</v>
      </c>
    </row>
    <row r="41" spans="1:9" x14ac:dyDescent="0.25">
      <c r="A41" s="1">
        <v>45399</v>
      </c>
      <c r="B41" t="s">
        <v>21</v>
      </c>
      <c r="C41" t="s">
        <v>18</v>
      </c>
      <c r="D41" t="s">
        <v>16</v>
      </c>
      <c r="E41">
        <v>82</v>
      </c>
      <c r="F41" s="3">
        <v>35000</v>
      </c>
      <c r="G41" s="3">
        <v>25000</v>
      </c>
      <c r="H41" s="3">
        <v>2870000</v>
      </c>
      <c r="I41" s="4">
        <f t="shared" si="0"/>
        <v>820000</v>
      </c>
    </row>
    <row r="42" spans="1:9" x14ac:dyDescent="0.25">
      <c r="A42" s="1">
        <v>45786</v>
      </c>
      <c r="B42" t="s">
        <v>19</v>
      </c>
      <c r="C42" t="s">
        <v>9</v>
      </c>
      <c r="D42" t="s">
        <v>13</v>
      </c>
      <c r="E42">
        <v>148</v>
      </c>
      <c r="F42" s="3">
        <v>40000</v>
      </c>
      <c r="G42" s="3">
        <v>30000</v>
      </c>
      <c r="H42" s="3">
        <v>5920000</v>
      </c>
      <c r="I42" s="4">
        <f t="shared" si="0"/>
        <v>1480000</v>
      </c>
    </row>
    <row r="43" spans="1:9" x14ac:dyDescent="0.25">
      <c r="A43" s="1">
        <v>46177</v>
      </c>
      <c r="B43" t="s">
        <v>24</v>
      </c>
      <c r="C43" t="s">
        <v>12</v>
      </c>
      <c r="D43" t="s">
        <v>10</v>
      </c>
      <c r="E43">
        <v>76</v>
      </c>
      <c r="F43" s="3">
        <v>60000</v>
      </c>
      <c r="G43" s="3">
        <v>40000</v>
      </c>
      <c r="H43" s="3">
        <v>4560000</v>
      </c>
      <c r="I43" s="4">
        <f t="shared" si="0"/>
        <v>1520000</v>
      </c>
    </row>
    <row r="44" spans="1:9" x14ac:dyDescent="0.25">
      <c r="A44" s="1">
        <v>45500</v>
      </c>
      <c r="B44" t="s">
        <v>26</v>
      </c>
      <c r="C44" t="s">
        <v>15</v>
      </c>
      <c r="D44" t="s">
        <v>20</v>
      </c>
      <c r="E44">
        <v>64</v>
      </c>
      <c r="F44" s="3">
        <v>15000</v>
      </c>
      <c r="G44" s="3">
        <v>10000</v>
      </c>
      <c r="H44" s="3">
        <v>960000</v>
      </c>
      <c r="I44" s="4">
        <f t="shared" si="0"/>
        <v>320000</v>
      </c>
    </row>
    <row r="45" spans="1:9" x14ac:dyDescent="0.25">
      <c r="A45" s="1">
        <v>45881</v>
      </c>
      <c r="B45" t="s">
        <v>23</v>
      </c>
      <c r="C45" t="s">
        <v>18</v>
      </c>
      <c r="D45" t="s">
        <v>13</v>
      </c>
      <c r="E45">
        <v>121</v>
      </c>
      <c r="F45" s="3">
        <v>40000</v>
      </c>
      <c r="G45" s="3">
        <v>30000</v>
      </c>
      <c r="H45" s="3">
        <v>4840000</v>
      </c>
      <c r="I45" s="4">
        <f t="shared" si="0"/>
        <v>1210000</v>
      </c>
    </row>
    <row r="46" spans="1:9" x14ac:dyDescent="0.25">
      <c r="A46" s="1">
        <v>46295</v>
      </c>
      <c r="B46" t="s">
        <v>17</v>
      </c>
      <c r="C46" t="s">
        <v>9</v>
      </c>
      <c r="D46" t="s">
        <v>16</v>
      </c>
      <c r="E46">
        <v>88</v>
      </c>
      <c r="F46" s="3">
        <v>35000</v>
      </c>
      <c r="G46" s="3">
        <v>25000</v>
      </c>
      <c r="H46" s="3">
        <v>3080000</v>
      </c>
      <c r="I46" s="4">
        <f t="shared" si="0"/>
        <v>880000</v>
      </c>
    </row>
    <row r="47" spans="1:9" x14ac:dyDescent="0.25">
      <c r="A47" s="1">
        <v>45586</v>
      </c>
      <c r="B47" t="s">
        <v>11</v>
      </c>
      <c r="C47" t="s">
        <v>12</v>
      </c>
      <c r="D47" t="s">
        <v>10</v>
      </c>
      <c r="E47">
        <v>94</v>
      </c>
      <c r="F47" s="3">
        <v>60000</v>
      </c>
      <c r="G47" s="3">
        <v>40000</v>
      </c>
      <c r="H47" s="3">
        <v>5640000</v>
      </c>
      <c r="I47" s="4">
        <f t="shared" si="0"/>
        <v>1880000</v>
      </c>
    </row>
    <row r="48" spans="1:9" x14ac:dyDescent="0.25">
      <c r="A48" s="1">
        <v>45964</v>
      </c>
      <c r="B48" t="s">
        <v>14</v>
      </c>
      <c r="C48" t="s">
        <v>15</v>
      </c>
      <c r="D48" t="s">
        <v>13</v>
      </c>
      <c r="E48">
        <v>136</v>
      </c>
      <c r="F48" s="3">
        <v>40000</v>
      </c>
      <c r="G48" s="3">
        <v>30000</v>
      </c>
      <c r="H48" s="3">
        <v>5440000</v>
      </c>
      <c r="I48" s="4">
        <f t="shared" si="0"/>
        <v>1360000</v>
      </c>
    </row>
    <row r="49" spans="1:9" x14ac:dyDescent="0.25">
      <c r="A49" s="1">
        <v>46384</v>
      </c>
      <c r="B49" t="s">
        <v>21</v>
      </c>
      <c r="C49" t="s">
        <v>18</v>
      </c>
      <c r="D49" t="s">
        <v>20</v>
      </c>
      <c r="E49">
        <v>57</v>
      </c>
      <c r="F49" s="3">
        <v>15000</v>
      </c>
      <c r="G49" s="3">
        <v>10000</v>
      </c>
      <c r="H49" s="3">
        <v>855000</v>
      </c>
      <c r="I49" s="4">
        <f t="shared" si="0"/>
        <v>285000</v>
      </c>
    </row>
    <row r="50" spans="1:9" x14ac:dyDescent="0.25">
      <c r="A50" s="1">
        <v>45305</v>
      </c>
      <c r="B50" t="s">
        <v>19</v>
      </c>
      <c r="C50" t="s">
        <v>9</v>
      </c>
      <c r="D50" t="s">
        <v>10</v>
      </c>
      <c r="E50">
        <v>81</v>
      </c>
      <c r="F50" s="3">
        <v>60000</v>
      </c>
      <c r="G50" s="3">
        <v>40000</v>
      </c>
      <c r="H50" s="3">
        <v>4860000</v>
      </c>
      <c r="I50" s="4">
        <f t="shared" si="0"/>
        <v>1620000</v>
      </c>
    </row>
    <row r="51" spans="1:9" x14ac:dyDescent="0.25">
      <c r="A51" s="1">
        <v>45712</v>
      </c>
      <c r="B51" t="s">
        <v>8</v>
      </c>
      <c r="C51" t="s">
        <v>12</v>
      </c>
      <c r="D51" t="s">
        <v>13</v>
      </c>
      <c r="E51">
        <v>130</v>
      </c>
      <c r="F51" s="3">
        <v>40000</v>
      </c>
      <c r="G51" s="3">
        <v>30000</v>
      </c>
      <c r="H51" s="3">
        <v>5200000</v>
      </c>
      <c r="I51" s="4">
        <f>H51-(G51*E51)</f>
        <v>1300000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Divya.T</dc:creator>
  <cp:lastModifiedBy>KEERTHIGA T</cp:lastModifiedBy>
  <dcterms:created xsi:type="dcterms:W3CDTF">2025-12-31T14:21:15Z</dcterms:created>
  <dcterms:modified xsi:type="dcterms:W3CDTF">2026-06-12T16:42:25Z</dcterms:modified>
</cp:coreProperties>
</file>